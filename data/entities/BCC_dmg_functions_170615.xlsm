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\\CHRB1048.CORP.GWPNET.COM\homes\E\S1T2EN\Documents\climada_GIT\climada_modules\climada_module_barisal_demo\data\entities\"/>
    </mc:Choice>
  </mc:AlternateContent>
  <bookViews>
    <workbookView xWindow="-45" yWindow="30" windowWidth="9705" windowHeight="11355" activeTab="1"/>
  </bookViews>
  <sheets>
    <sheet name="Aggregate of all dmg functions" sheetId="16" r:id="rId1"/>
    <sheet name="formatted" sheetId="17" r:id="rId2"/>
  </sheets>
  <definedNames>
    <definedName name="_xlnm._FilterDatabase" localSheetId="1" hidden="1">formatted!$A$1:$F$745</definedName>
  </definedNames>
  <calcPr calcId="152511"/>
</workbook>
</file>

<file path=xl/calcChain.xml><?xml version="1.0" encoding="utf-8"?>
<calcChain xmlns="http://schemas.openxmlformats.org/spreadsheetml/2006/main">
  <c r="I65" i="16" l="1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G270" i="16" l="1"/>
  <c r="G130" i="16" l="1"/>
  <c r="G129" i="16"/>
  <c r="G128" i="16"/>
  <c r="G127" i="16"/>
  <c r="G126" i="16"/>
  <c r="G125" i="16"/>
  <c r="G124" i="16"/>
  <c r="G123" i="16"/>
  <c r="G122" i="16"/>
  <c r="G121" i="16"/>
  <c r="G120" i="16"/>
  <c r="G119" i="16"/>
  <c r="G118" i="16"/>
  <c r="G117" i="16"/>
  <c r="G116" i="16"/>
  <c r="G113" i="16"/>
  <c r="G112" i="16"/>
  <c r="G111" i="16"/>
  <c r="G110" i="16"/>
  <c r="G109" i="16"/>
  <c r="G108" i="16"/>
  <c r="G107" i="16"/>
  <c r="G106" i="16"/>
  <c r="G105" i="16"/>
  <c r="G104" i="16"/>
  <c r="G103" i="16"/>
  <c r="G102" i="16"/>
  <c r="G101" i="16"/>
  <c r="G100" i="16"/>
  <c r="G99" i="16"/>
  <c r="G96" i="16"/>
  <c r="G95" i="16"/>
  <c r="G94" i="16"/>
  <c r="G93" i="16"/>
  <c r="G92" i="16"/>
  <c r="G91" i="16"/>
  <c r="G90" i="16"/>
  <c r="G89" i="16"/>
  <c r="G88" i="16"/>
  <c r="G87" i="16"/>
  <c r="G86" i="16"/>
  <c r="G85" i="16"/>
  <c r="G84" i="16"/>
  <c r="G83" i="16"/>
  <c r="G82" i="16"/>
  <c r="G65" i="16"/>
  <c r="G79" i="16"/>
  <c r="G78" i="16"/>
  <c r="G77" i="16"/>
  <c r="G76" i="16"/>
  <c r="G75" i="16"/>
  <c r="G74" i="16"/>
  <c r="G73" i="16"/>
  <c r="G72" i="16"/>
  <c r="G71" i="16"/>
  <c r="G70" i="16"/>
  <c r="G69" i="16"/>
  <c r="G68" i="16"/>
  <c r="G67" i="16"/>
  <c r="G66" i="16"/>
  <c r="G267" i="16" l="1"/>
  <c r="G266" i="16"/>
  <c r="G265" i="16"/>
  <c r="G264" i="16"/>
  <c r="G263" i="16"/>
  <c r="G262" i="16"/>
  <c r="G261" i="16"/>
  <c r="G260" i="16"/>
  <c r="G259" i="16"/>
  <c r="G258" i="16"/>
  <c r="G257" i="16"/>
  <c r="G256" i="16"/>
  <c r="G255" i="16"/>
  <c r="G254" i="16"/>
  <c r="G253" i="16"/>
</calcChain>
</file>

<file path=xl/sharedStrings.xml><?xml version="1.0" encoding="utf-8"?>
<sst xmlns="http://schemas.openxmlformats.org/spreadsheetml/2006/main" count="3104" uniqueCount="135">
  <si>
    <t>Damage ratio</t>
  </si>
  <si>
    <t>Rice</t>
  </si>
  <si>
    <t>chili</t>
  </si>
  <si>
    <t>vegetables</t>
  </si>
  <si>
    <t>other crops</t>
  </si>
  <si>
    <t>Cow</t>
  </si>
  <si>
    <t>Goats</t>
  </si>
  <si>
    <t>Buffalo</t>
  </si>
  <si>
    <t>Chicken</t>
  </si>
  <si>
    <t>Ducks</t>
  </si>
  <si>
    <t>Other Livestock</t>
  </si>
  <si>
    <t>Aggregate of all damage functions</t>
  </si>
  <si>
    <t>Thousands: type of hazard</t>
  </si>
  <si>
    <t>Hundreds: type of asset</t>
  </si>
  <si>
    <t>tens: subtype of assets</t>
  </si>
  <si>
    <t>1. Explanation damage function ID's</t>
  </si>
  <si>
    <t xml:space="preserve">Flooding </t>
  </si>
  <si>
    <t xml:space="preserve">Cyclone </t>
  </si>
  <si>
    <t xml:space="preserve">roads </t>
  </si>
  <si>
    <t xml:space="preserve">vehicles </t>
  </si>
  <si>
    <t xml:space="preserve">agriculture </t>
  </si>
  <si>
    <t xml:space="preserve">Buildings </t>
  </si>
  <si>
    <t xml:space="preserve">Other industry </t>
  </si>
  <si>
    <t xml:space="preserve">Butimen </t>
  </si>
  <si>
    <t xml:space="preserve">(B)CC </t>
  </si>
  <si>
    <t xml:space="preserve">HBB </t>
  </si>
  <si>
    <t xml:space="preserve">Earthen </t>
  </si>
  <si>
    <t xml:space="preserve">Auto-van </t>
  </si>
  <si>
    <t xml:space="preserve">Easy-bike and auto-rickshaw </t>
  </si>
  <si>
    <t xml:space="preserve">Harvest </t>
  </si>
  <si>
    <t xml:space="preserve">Small plant </t>
  </si>
  <si>
    <t xml:space="preserve">Seed bed </t>
  </si>
  <si>
    <t xml:space="preserve">pharmaceutical </t>
  </si>
  <si>
    <t xml:space="preserve">textile </t>
  </si>
  <si>
    <t xml:space="preserve">cement </t>
  </si>
  <si>
    <t xml:space="preserve">water </t>
  </si>
  <si>
    <t xml:space="preserve">power </t>
  </si>
  <si>
    <t xml:space="preserve"> (400)</t>
  </si>
  <si>
    <t xml:space="preserve"> (300)</t>
  </si>
  <si>
    <t xml:space="preserve"> (200)</t>
  </si>
  <si>
    <t xml:space="preserve"> (100)</t>
  </si>
  <si>
    <t xml:space="preserve"> (500)</t>
  </si>
  <si>
    <t>Description</t>
  </si>
  <si>
    <t>DMG function ID</t>
  </si>
  <si>
    <t>2. Damage functions</t>
  </si>
  <si>
    <t>2.1 Flooding</t>
  </si>
  <si>
    <t>Damage ratio (% of total value)</t>
  </si>
  <si>
    <t xml:space="preserve">Intensity </t>
  </si>
  <si>
    <t>Damage ratio (% of building value)</t>
  </si>
  <si>
    <t>Damage ratio (% of inventory value)</t>
  </si>
  <si>
    <t>Damage ratio (% of total inventory value)</t>
  </si>
  <si>
    <t>2.2. Cyclones</t>
  </si>
  <si>
    <t>Livestock</t>
  </si>
  <si>
    <t>ones: Building function (for valueing inventory)
OR: type of livestock</t>
  </si>
  <si>
    <t>Wind speed (kph)</t>
  </si>
  <si>
    <t>flood depth (m)</t>
  </si>
  <si>
    <t>Flood Duration (days)</t>
  </si>
  <si>
    <t>Brick house (structural dmg only)</t>
  </si>
  <si>
    <t>Jhupri house (structural dmg only)</t>
  </si>
  <si>
    <t>Tin &amp; Wood house (structural dmg only)</t>
  </si>
  <si>
    <t>Tin Shed house (structural dmg only)</t>
  </si>
  <si>
    <t>Residential buildings (weighted aggregate of structural and inventory damage)</t>
  </si>
  <si>
    <t>Commercial buildings (weighted aggregate of structural and inventory damage)</t>
  </si>
  <si>
    <t>Mixed use (weighted aggregate of structural and inventory damage)</t>
  </si>
  <si>
    <t>Industrial and warehouse (weighted aggregate of structural and inventory damage)</t>
  </si>
  <si>
    <t>Public buildings (weighted aggregate of structural and inventory damage)</t>
  </si>
  <si>
    <t>Cyclone  - Buildings  - Brick house (structural and inventory dmg)</t>
  </si>
  <si>
    <t>Cyclone  - Buildings  - Tin Shed house (structural and inventory dmg)</t>
  </si>
  <si>
    <t>Cyclone  - Buildings  - Tin &amp; Wood house (structural and inventory dmg)</t>
  </si>
  <si>
    <t>Cyclone  - Buildings  - Jhupri house (structural and inventory dmg)</t>
  </si>
  <si>
    <t>Common Resources</t>
  </si>
  <si>
    <t>Assumed equal to Agri - small plant</t>
  </si>
  <si>
    <t xml:space="preserve">Flooding  - roads  - Butimen </t>
  </si>
  <si>
    <t xml:space="preserve">Flooding  - roads  - (B)CC </t>
  </si>
  <si>
    <t xml:space="preserve">Flooding  - roads  - HBB </t>
  </si>
  <si>
    <t xml:space="preserve">Flooding  - roads  - Earthen </t>
  </si>
  <si>
    <t xml:space="preserve">Flooding  - vehicles  - Auto-van </t>
  </si>
  <si>
    <t xml:space="preserve">Flooding  - vehicles  - Easy-bike and auto-rickshaw </t>
  </si>
  <si>
    <t xml:space="preserve">Flooding  - agriculture  - Harvest </t>
  </si>
  <si>
    <t xml:space="preserve">Flooding  - agriculture  - Small plant </t>
  </si>
  <si>
    <t xml:space="preserve">Flooding  - agriculture  - Seed bed </t>
  </si>
  <si>
    <t>Flooding  - agriculture  - Livestock</t>
  </si>
  <si>
    <t>Flooding  - agriculture  - Common Resources</t>
  </si>
  <si>
    <t>Flooding  - Buildings  - Brick house (structural dmg only)</t>
  </si>
  <si>
    <t>Flooding  - Buildings  - Brick house (structural dmg only) - Residential buildings (weighted aggregate of structural and inventory damage)</t>
  </si>
  <si>
    <t>Flooding  - Buildings  - Brick house (structural dmg only) - Commercial buildings (weighted aggregate of structural and inventory damage)</t>
  </si>
  <si>
    <t>Flooding  - Buildings  - Brick house (structural dmg only) - Mixed use (weighted aggregate of structural and inventory damage)</t>
  </si>
  <si>
    <t>Flooding  - Buildings  - Brick house (structural dmg only) - Industrial and warehouse (weighted aggregate of structural and inventory damage)</t>
  </si>
  <si>
    <t>Flooding  - Buildings  - Brick house (structural dmg only) - Public buildings (weighted aggregate of structural and inventory damage)</t>
  </si>
  <si>
    <t>Flooding  - Buildings  - Tin Shed house (structural dmg only)</t>
  </si>
  <si>
    <t>Flooding  - Buildings  - Tin Shed house (structural dmg only) - Residential buildings (weighted aggregate of structural and inventory damage)</t>
  </si>
  <si>
    <t>Flooding  - Buildings  - Tin Shed house (structural dmg only) - Commercial buildings (weighted aggregate of structural and inventory damage)</t>
  </si>
  <si>
    <t>Flooding  - Buildings  - Tin Shed house (structural dmg only) - Mixed use (weighted aggregate of structural and inventory damage)</t>
  </si>
  <si>
    <t>Flooding  - Buildings  - Tin Shed house (structural dmg only) - Industrial and warehouse (weighted aggregate of structural and inventory damage)</t>
  </si>
  <si>
    <t>Flooding  - Buildings  - Tin Shed house (structural dmg only) - Public buildings (weighted aggregate of structural and inventory damage)</t>
  </si>
  <si>
    <t>Flooding  - Buildings  - Tin &amp; Wood house (structural dmg only)</t>
  </si>
  <si>
    <t>Flooding  - Buildings  - Tin &amp; Wood house (structural dmg only) - Residential buildings (weighted aggregate of structural and inventory damage)</t>
  </si>
  <si>
    <t>Flooding  - Buildings  - Tin &amp; Wood house (structural dmg only) - Commercial buildings (weighted aggregate of structural and inventory damage)</t>
  </si>
  <si>
    <t>Flooding  - Buildings  - Tin &amp; Wood house (structural dmg only) - Mixed use (weighted aggregate of structural and inventory damage)</t>
  </si>
  <si>
    <t>Flooding  - Buildings  - Tin &amp; Wood house (structural dmg only) - Industrial and warehouse (weighted aggregate of structural and inventory damage)</t>
  </si>
  <si>
    <t>Flooding  - Buildings  - Tin &amp; Wood house (structural dmg only) - Public buildings (weighted aggregate of structural and inventory damage)</t>
  </si>
  <si>
    <t>Flooding  - Buildings  - Jhupri house (structural dmg only)</t>
  </si>
  <si>
    <t>Flooding  - Buildings  - Jhupri house (structural dmg only) - Residential buildings (weighted aggregate of structural and inventory damage)</t>
  </si>
  <si>
    <t xml:space="preserve">Flooding  - Other industry  - pharmaceutical </t>
  </si>
  <si>
    <t xml:space="preserve">Flooding  - Other industry  - textile </t>
  </si>
  <si>
    <t xml:space="preserve">Flooding  - Other industry  - cement </t>
  </si>
  <si>
    <t xml:space="preserve">Flooding  - Other industry  - water </t>
  </si>
  <si>
    <t xml:space="preserve">Flooding  - Other industry  - power </t>
  </si>
  <si>
    <t>Cyclone  - agriculture  - Livestock - Cow</t>
  </si>
  <si>
    <t>Cyclone  - agriculture  - Livestock - Goats</t>
  </si>
  <si>
    <t>Cyclone  - agriculture  - Livestock - Buffalo</t>
  </si>
  <si>
    <t>Cyclone  - agriculture  - Livestock - Chicken</t>
  </si>
  <si>
    <t>Cyclone  - agriculture  - Livestock - Ducks</t>
  </si>
  <si>
    <t>Cyclone  - agriculture  - Livestock - Other Livestock</t>
  </si>
  <si>
    <t>Cyclone  - agriculture  - Rice</t>
  </si>
  <si>
    <t>Cyclone  - agriculture  - chili</t>
  </si>
  <si>
    <t>Cyclone  - agriculture  - vegetables</t>
  </si>
  <si>
    <t>Cyclone  - agriculture  - other crops</t>
  </si>
  <si>
    <t>Old values</t>
  </si>
  <si>
    <t>New value</t>
  </si>
  <si>
    <t>Rationale: Roads are never 100% damaged because of flooding</t>
  </si>
  <si>
    <t xml:space="preserve">This damage function is scaled down with 20% because Butimen roads are usually slightly more elevated than other roads. This distinction does not show up in the flood model, because the scale is too coarse for that. </t>
  </si>
  <si>
    <t>Fish ponds</t>
  </si>
  <si>
    <t>Flooding  - agriculture  - Fish ponds</t>
  </si>
  <si>
    <t>Assumption</t>
  </si>
  <si>
    <t>FL_</t>
  </si>
  <si>
    <t>DamageFunID</t>
  </si>
  <si>
    <t>Intensity</t>
  </si>
  <si>
    <t>MDR</t>
  </si>
  <si>
    <t>peril_ID</t>
  </si>
  <si>
    <t>units</t>
  </si>
  <si>
    <t>FL</t>
  </si>
  <si>
    <t>TC</t>
  </si>
  <si>
    <t>days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</si>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</sst>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9" fontId="0" fillId="0" borderId="0" xfId="0" applyNumberFormat="1"/>
    <xf numFmtId="1" fontId="0" fillId="0" borderId="0" xfId="0" applyNumberFormat="1"/>
    <xf numFmtId="0" fontId="0" fillId="0" borderId="0" xfId="0" applyFill="1"/>
    <xf numFmtId="0" fontId="0" fillId="2" borderId="0" xfId="0" applyFill="1"/>
    <xf numFmtId="0" fontId="3" fillId="3" borderId="0" xfId="0" applyFont="1" applyFill="1"/>
    <xf numFmtId="0" fontId="4" fillId="3" borderId="0" xfId="0" applyFont="1" applyFill="1"/>
    <xf numFmtId="0" fontId="0" fillId="0" borderId="0" xfId="0" applyAlignment="1">
      <alignment horizontal="left" vertical="top"/>
    </xf>
    <xf numFmtId="0" fontId="5" fillId="0" borderId="0" xfId="0" applyFont="1"/>
    <xf numFmtId="0" fontId="2" fillId="0" borderId="0" xfId="0" quotePrefix="1" applyFont="1"/>
    <xf numFmtId="0" fontId="2" fillId="0" borderId="0" xfId="0" applyFont="1"/>
    <xf numFmtId="0" fontId="6" fillId="0" borderId="0" xfId="0" applyFont="1"/>
    <xf numFmtId="0" fontId="0" fillId="0" borderId="0" xfId="0" applyAlignment="1">
      <alignment wrapText="1"/>
    </xf>
    <xf numFmtId="0" fontId="1" fillId="4" borderId="0" xfId="0" applyFont="1" applyFill="1"/>
    <xf numFmtId="0" fontId="1" fillId="5" borderId="0" xfId="0" applyFont="1" applyFill="1"/>
    <xf numFmtId="0" fontId="1" fillId="0" borderId="0" xfId="0" applyFont="1" applyFill="1"/>
    <xf numFmtId="0" fontId="0" fillId="0" borderId="0" xfId="0" applyFont="1" applyFill="1"/>
    <xf numFmtId="2" fontId="0" fillId="0" borderId="0" xfId="0" applyNumberFormat="1"/>
    <xf numFmtId="0" fontId="1" fillId="2" borderId="0" xfId="0" applyFont="1" applyFill="1"/>
    <xf numFmtId="0" fontId="6" fillId="0" borderId="0" xfId="0" applyFont="1" applyFill="1"/>
    <xf numFmtId="0" fontId="7" fillId="0" borderId="0" xfId="0" applyFont="1" applyFill="1"/>
    <xf numFmtId="0" fontId="7" fillId="0" borderId="0" xfId="0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912"/>
  <sheetViews>
    <sheetView topLeftCell="A252" zoomScale="85" zoomScaleNormal="85" workbookViewId="0">
      <selection activeCell="F270" sqref="F270:F284"/>
    </sheetView>
  </sheetViews>
  <sheetFormatPr defaultRowHeight="15" outlineLevelRow="1" x14ac:dyDescent="0.25"/>
  <cols>
    <col min="1" max="1" width="1.5703125" customWidth="1"/>
    <col min="2" max="2" width="2.140625" customWidth="1"/>
    <col min="3" max="3" width="1.85546875" customWidth="1"/>
    <col min="4" max="4" width="102.7109375" customWidth="1"/>
    <col min="5" max="5" width="21.5703125" customWidth="1"/>
    <col min="6" max="6" width="13.7109375" customWidth="1"/>
  </cols>
  <sheetData>
    <row r="1" spans="1:8" s="5" customFormat="1" ht="23.25" x14ac:dyDescent="0.35">
      <c r="A1" s="6" t="s">
        <v>11</v>
      </c>
    </row>
    <row r="3" spans="1:8" ht="18.75" x14ac:dyDescent="0.3">
      <c r="A3" s="8" t="s">
        <v>15</v>
      </c>
    </row>
    <row r="4" spans="1:8" outlineLevel="1" x14ac:dyDescent="0.25">
      <c r="D4" s="7" t="s">
        <v>12</v>
      </c>
    </row>
    <row r="5" spans="1:8" outlineLevel="1" x14ac:dyDescent="0.25">
      <c r="E5">
        <v>1000</v>
      </c>
      <c r="F5" t="s">
        <v>16</v>
      </c>
    </row>
    <row r="6" spans="1:8" outlineLevel="1" x14ac:dyDescent="0.25">
      <c r="E6">
        <v>2000</v>
      </c>
      <c r="F6" t="s">
        <v>17</v>
      </c>
    </row>
    <row r="7" spans="1:8" outlineLevel="1" x14ac:dyDescent="0.25">
      <c r="D7" t="s">
        <v>13</v>
      </c>
    </row>
    <row r="8" spans="1:8" outlineLevel="1" x14ac:dyDescent="0.25">
      <c r="F8">
        <v>100</v>
      </c>
      <c r="G8" t="s">
        <v>18</v>
      </c>
    </row>
    <row r="9" spans="1:8" outlineLevel="1" x14ac:dyDescent="0.25">
      <c r="F9">
        <v>200</v>
      </c>
      <c r="G9" t="s">
        <v>19</v>
      </c>
    </row>
    <row r="10" spans="1:8" outlineLevel="1" x14ac:dyDescent="0.25">
      <c r="F10">
        <v>300</v>
      </c>
      <c r="G10" t="s">
        <v>20</v>
      </c>
    </row>
    <row r="11" spans="1:8" outlineLevel="1" x14ac:dyDescent="0.25">
      <c r="F11">
        <v>400</v>
      </c>
      <c r="G11" t="s">
        <v>21</v>
      </c>
    </row>
    <row r="12" spans="1:8" outlineLevel="1" x14ac:dyDescent="0.25">
      <c r="F12">
        <v>500</v>
      </c>
      <c r="G12" t="s">
        <v>22</v>
      </c>
    </row>
    <row r="13" spans="1:8" outlineLevel="1" x14ac:dyDescent="0.25"/>
    <row r="14" spans="1:8" outlineLevel="1" x14ac:dyDescent="0.25"/>
    <row r="15" spans="1:8" outlineLevel="1" x14ac:dyDescent="0.25">
      <c r="D15" t="s">
        <v>14</v>
      </c>
    </row>
    <row r="16" spans="1:8" outlineLevel="1" x14ac:dyDescent="0.25">
      <c r="F16" s="9" t="s">
        <v>40</v>
      </c>
      <c r="G16">
        <v>10</v>
      </c>
      <c r="H16" t="s">
        <v>23</v>
      </c>
    </row>
    <row r="17" spans="6:11" outlineLevel="1" x14ac:dyDescent="0.25">
      <c r="F17" s="9" t="s">
        <v>40</v>
      </c>
      <c r="G17">
        <v>20</v>
      </c>
      <c r="H17" t="s">
        <v>24</v>
      </c>
    </row>
    <row r="18" spans="6:11" outlineLevel="1" x14ac:dyDescent="0.25">
      <c r="F18" s="9" t="s">
        <v>40</v>
      </c>
      <c r="G18">
        <v>30</v>
      </c>
      <c r="H18" t="s">
        <v>25</v>
      </c>
    </row>
    <row r="19" spans="6:11" outlineLevel="1" x14ac:dyDescent="0.25">
      <c r="F19" s="9" t="s">
        <v>40</v>
      </c>
      <c r="G19">
        <v>40</v>
      </c>
      <c r="H19" t="s">
        <v>26</v>
      </c>
    </row>
    <row r="20" spans="6:11" outlineLevel="1" x14ac:dyDescent="0.25">
      <c r="F20" s="10"/>
    </row>
    <row r="21" spans="6:11" outlineLevel="1" x14ac:dyDescent="0.25">
      <c r="F21" s="9" t="s">
        <v>39</v>
      </c>
      <c r="G21">
        <v>10</v>
      </c>
      <c r="H21" t="s">
        <v>27</v>
      </c>
    </row>
    <row r="22" spans="6:11" outlineLevel="1" x14ac:dyDescent="0.25">
      <c r="F22" s="9" t="s">
        <v>39</v>
      </c>
      <c r="G22">
        <v>20</v>
      </c>
      <c r="H22" t="s">
        <v>28</v>
      </c>
      <c r="K22" t="s">
        <v>1</v>
      </c>
    </row>
    <row r="23" spans="6:11" outlineLevel="1" x14ac:dyDescent="0.25">
      <c r="F23" s="10"/>
    </row>
    <row r="24" spans="6:11" outlineLevel="1" x14ac:dyDescent="0.25">
      <c r="F24" s="9" t="s">
        <v>38</v>
      </c>
      <c r="G24">
        <v>10</v>
      </c>
      <c r="H24" t="s">
        <v>29</v>
      </c>
    </row>
    <row r="25" spans="6:11" outlineLevel="1" x14ac:dyDescent="0.25">
      <c r="F25" s="9" t="s">
        <v>38</v>
      </c>
      <c r="G25">
        <v>20</v>
      </c>
      <c r="H25" t="s">
        <v>30</v>
      </c>
    </row>
    <row r="26" spans="6:11" outlineLevel="1" x14ac:dyDescent="0.25">
      <c r="F26" s="9" t="s">
        <v>38</v>
      </c>
      <c r="G26">
        <v>30</v>
      </c>
      <c r="H26" t="s">
        <v>31</v>
      </c>
    </row>
    <row r="27" spans="6:11" outlineLevel="1" x14ac:dyDescent="0.25">
      <c r="F27" s="9" t="s">
        <v>38</v>
      </c>
      <c r="G27">
        <v>40</v>
      </c>
      <c r="H27" t="s">
        <v>52</v>
      </c>
    </row>
    <row r="28" spans="6:11" outlineLevel="1" x14ac:dyDescent="0.25">
      <c r="F28" s="9" t="s">
        <v>38</v>
      </c>
      <c r="G28">
        <v>50</v>
      </c>
      <c r="H28" t="s">
        <v>1</v>
      </c>
    </row>
    <row r="29" spans="6:11" outlineLevel="1" x14ac:dyDescent="0.25">
      <c r="F29" s="9" t="s">
        <v>38</v>
      </c>
      <c r="G29">
        <v>60</v>
      </c>
      <c r="H29" t="s">
        <v>2</v>
      </c>
    </row>
    <row r="30" spans="6:11" outlineLevel="1" x14ac:dyDescent="0.25">
      <c r="F30" s="9" t="s">
        <v>38</v>
      </c>
      <c r="G30">
        <v>70</v>
      </c>
      <c r="H30" t="s">
        <v>3</v>
      </c>
    </row>
    <row r="31" spans="6:11" outlineLevel="1" x14ac:dyDescent="0.25">
      <c r="F31" s="9" t="s">
        <v>38</v>
      </c>
      <c r="G31">
        <v>80</v>
      </c>
      <c r="H31" t="s">
        <v>4</v>
      </c>
    </row>
    <row r="32" spans="6:11" outlineLevel="1" x14ac:dyDescent="0.25">
      <c r="F32" s="9" t="s">
        <v>38</v>
      </c>
      <c r="G32">
        <v>90</v>
      </c>
      <c r="H32" t="s">
        <v>70</v>
      </c>
    </row>
    <row r="33" spans="4:9" outlineLevel="1" x14ac:dyDescent="0.25">
      <c r="F33" s="9" t="s">
        <v>38</v>
      </c>
      <c r="G33">
        <v>95</v>
      </c>
      <c r="H33" t="s">
        <v>122</v>
      </c>
    </row>
    <row r="34" spans="4:9" outlineLevel="1" x14ac:dyDescent="0.25">
      <c r="F34" s="9"/>
    </row>
    <row r="35" spans="4:9" outlineLevel="1" x14ac:dyDescent="0.25">
      <c r="F35" s="9" t="s">
        <v>37</v>
      </c>
      <c r="G35">
        <v>10</v>
      </c>
      <c r="H35" t="s">
        <v>57</v>
      </c>
    </row>
    <row r="36" spans="4:9" outlineLevel="1" x14ac:dyDescent="0.25">
      <c r="F36" s="9" t="s">
        <v>37</v>
      </c>
      <c r="G36">
        <v>20</v>
      </c>
      <c r="H36" t="s">
        <v>60</v>
      </c>
    </row>
    <row r="37" spans="4:9" outlineLevel="1" x14ac:dyDescent="0.25">
      <c r="F37" s="9" t="s">
        <v>37</v>
      </c>
      <c r="G37">
        <v>30</v>
      </c>
      <c r="H37" t="s">
        <v>59</v>
      </c>
    </row>
    <row r="38" spans="4:9" outlineLevel="1" x14ac:dyDescent="0.25">
      <c r="F38" s="9" t="s">
        <v>37</v>
      </c>
      <c r="G38">
        <v>40</v>
      </c>
      <c r="H38" t="s">
        <v>58</v>
      </c>
    </row>
    <row r="39" spans="4:9" outlineLevel="1" x14ac:dyDescent="0.25">
      <c r="F39" s="10"/>
    </row>
    <row r="40" spans="4:9" outlineLevel="1" x14ac:dyDescent="0.25">
      <c r="F40" s="9" t="s">
        <v>41</v>
      </c>
      <c r="G40">
        <v>10</v>
      </c>
      <c r="H40" t="s">
        <v>32</v>
      </c>
    </row>
    <row r="41" spans="4:9" outlineLevel="1" x14ac:dyDescent="0.25">
      <c r="F41" s="9" t="s">
        <v>41</v>
      </c>
      <c r="G41">
        <v>20</v>
      </c>
      <c r="H41" t="s">
        <v>33</v>
      </c>
    </row>
    <row r="42" spans="4:9" outlineLevel="1" x14ac:dyDescent="0.25">
      <c r="F42" s="9" t="s">
        <v>41</v>
      </c>
      <c r="G42">
        <v>30</v>
      </c>
      <c r="H42" t="s">
        <v>34</v>
      </c>
    </row>
    <row r="43" spans="4:9" outlineLevel="1" x14ac:dyDescent="0.25">
      <c r="F43" s="9" t="s">
        <v>41</v>
      </c>
      <c r="G43">
        <v>40</v>
      </c>
      <c r="H43" t="s">
        <v>35</v>
      </c>
    </row>
    <row r="44" spans="4:9" outlineLevel="1" x14ac:dyDescent="0.25">
      <c r="F44" s="9" t="s">
        <v>41</v>
      </c>
      <c r="G44">
        <v>50</v>
      </c>
      <c r="H44" t="s">
        <v>36</v>
      </c>
    </row>
    <row r="45" spans="4:9" outlineLevel="1" x14ac:dyDescent="0.25">
      <c r="F45" s="10"/>
    </row>
    <row r="46" spans="4:9" ht="30" outlineLevel="1" x14ac:dyDescent="0.25">
      <c r="D46" s="12" t="s">
        <v>53</v>
      </c>
      <c r="F46" s="10"/>
    </row>
    <row r="47" spans="4:9" outlineLevel="1" x14ac:dyDescent="0.25">
      <c r="F47" s="9" t="s">
        <v>37</v>
      </c>
      <c r="H47">
        <v>1</v>
      </c>
      <c r="I47" t="s">
        <v>61</v>
      </c>
    </row>
    <row r="48" spans="4:9" outlineLevel="1" x14ac:dyDescent="0.25">
      <c r="F48" s="9" t="s">
        <v>37</v>
      </c>
      <c r="H48">
        <v>2</v>
      </c>
      <c r="I48" t="s">
        <v>62</v>
      </c>
    </row>
    <row r="49" spans="1:11" outlineLevel="1" x14ac:dyDescent="0.25">
      <c r="F49" s="9" t="s">
        <v>37</v>
      </c>
      <c r="H49">
        <v>3</v>
      </c>
      <c r="I49" t="s">
        <v>63</v>
      </c>
    </row>
    <row r="50" spans="1:11" outlineLevel="1" x14ac:dyDescent="0.25">
      <c r="F50" s="9" t="s">
        <v>37</v>
      </c>
      <c r="H50">
        <v>4</v>
      </c>
      <c r="I50" t="s">
        <v>64</v>
      </c>
    </row>
    <row r="51" spans="1:11" outlineLevel="1" x14ac:dyDescent="0.25">
      <c r="F51" s="9" t="s">
        <v>37</v>
      </c>
      <c r="H51">
        <v>5</v>
      </c>
      <c r="I51" t="s">
        <v>65</v>
      </c>
    </row>
    <row r="52" spans="1:11" outlineLevel="1" x14ac:dyDescent="0.25"/>
    <row r="53" spans="1:11" outlineLevel="1" x14ac:dyDescent="0.25">
      <c r="F53" s="9" t="s">
        <v>38</v>
      </c>
      <c r="H53">
        <v>1</v>
      </c>
      <c r="I53" t="s">
        <v>5</v>
      </c>
    </row>
    <row r="54" spans="1:11" outlineLevel="1" x14ac:dyDescent="0.25">
      <c r="F54" s="9" t="s">
        <v>38</v>
      </c>
      <c r="H54">
        <v>2</v>
      </c>
      <c r="I54" t="s">
        <v>6</v>
      </c>
    </row>
    <row r="55" spans="1:11" outlineLevel="1" x14ac:dyDescent="0.25">
      <c r="F55" s="9" t="s">
        <v>38</v>
      </c>
      <c r="H55">
        <v>3</v>
      </c>
      <c r="I55" t="s">
        <v>7</v>
      </c>
    </row>
    <row r="56" spans="1:11" outlineLevel="1" x14ac:dyDescent="0.25">
      <c r="F56" s="9" t="s">
        <v>38</v>
      </c>
      <c r="H56">
        <v>4</v>
      </c>
      <c r="I56" t="s">
        <v>8</v>
      </c>
    </row>
    <row r="57" spans="1:11" outlineLevel="1" x14ac:dyDescent="0.25">
      <c r="F57" s="9" t="s">
        <v>38</v>
      </c>
      <c r="H57">
        <v>5</v>
      </c>
      <c r="I57" t="s">
        <v>9</v>
      </c>
    </row>
    <row r="58" spans="1:11" outlineLevel="1" x14ac:dyDescent="0.25">
      <c r="F58" s="9" t="s">
        <v>38</v>
      </c>
      <c r="H58">
        <v>6</v>
      </c>
      <c r="I58" t="s">
        <v>10</v>
      </c>
    </row>
    <row r="59" spans="1:11" x14ac:dyDescent="0.25">
      <c r="F59" s="9"/>
    </row>
    <row r="60" spans="1:11" x14ac:dyDescent="0.25">
      <c r="F60" s="9"/>
    </row>
    <row r="61" spans="1:11" ht="18.75" x14ac:dyDescent="0.3">
      <c r="A61" s="8" t="s">
        <v>44</v>
      </c>
    </row>
    <row r="62" spans="1:11" x14ac:dyDescent="0.25">
      <c r="B62" s="11" t="s">
        <v>45</v>
      </c>
    </row>
    <row r="63" spans="1:11" x14ac:dyDescent="0.25">
      <c r="D63" s="14" t="s">
        <v>42</v>
      </c>
      <c r="E63" s="14" t="s">
        <v>43</v>
      </c>
      <c r="F63" s="14" t="s">
        <v>47</v>
      </c>
      <c r="G63" s="14" t="s">
        <v>46</v>
      </c>
    </row>
    <row r="64" spans="1:11" x14ac:dyDescent="0.25">
      <c r="D64" s="13" t="s">
        <v>72</v>
      </c>
      <c r="E64" s="13">
        <v>1110</v>
      </c>
      <c r="F64" s="13" t="s">
        <v>56</v>
      </c>
      <c r="G64" s="13" t="s">
        <v>0</v>
      </c>
      <c r="H64" s="20" t="s">
        <v>121</v>
      </c>
      <c r="I64" s="16" t="s">
        <v>119</v>
      </c>
      <c r="J64" t="s">
        <v>118</v>
      </c>
      <c r="K64" s="21" t="s">
        <v>120</v>
      </c>
    </row>
    <row r="65" spans="4:10" outlineLevel="1" x14ac:dyDescent="0.25">
      <c r="D65" t="s">
        <v>72</v>
      </c>
      <c r="E65">
        <v>1110</v>
      </c>
      <c r="F65">
        <v>0</v>
      </c>
      <c r="G65">
        <f xml:space="preserve"> I65 * 0.8</f>
        <v>0</v>
      </c>
      <c r="I65">
        <f t="shared" ref="I65:I79" si="0" xml:space="preserve"> J65 * 0.5</f>
        <v>0</v>
      </c>
      <c r="J65">
        <v>0</v>
      </c>
    </row>
    <row r="66" spans="4:10" outlineLevel="1" x14ac:dyDescent="0.25">
      <c r="D66" t="s">
        <v>72</v>
      </c>
      <c r="E66">
        <v>1110</v>
      </c>
      <c r="F66">
        <v>1</v>
      </c>
      <c r="G66">
        <f t="shared" ref="G66:G79" si="1" xml:space="preserve"> I66 * 0.8</f>
        <v>0</v>
      </c>
      <c r="I66">
        <f t="shared" si="0"/>
        <v>0</v>
      </c>
      <c r="J66">
        <v>0</v>
      </c>
    </row>
    <row r="67" spans="4:10" outlineLevel="1" x14ac:dyDescent="0.25">
      <c r="D67" t="s">
        <v>72</v>
      </c>
      <c r="E67">
        <v>1110</v>
      </c>
      <c r="F67">
        <v>2</v>
      </c>
      <c r="G67">
        <f t="shared" si="1"/>
        <v>4.0000000000000008E-2</v>
      </c>
      <c r="I67">
        <f t="shared" si="0"/>
        <v>0.05</v>
      </c>
      <c r="J67">
        <v>0.1</v>
      </c>
    </row>
    <row r="68" spans="4:10" outlineLevel="1" x14ac:dyDescent="0.25">
      <c r="D68" t="s">
        <v>72</v>
      </c>
      <c r="E68">
        <v>1110</v>
      </c>
      <c r="F68">
        <v>3</v>
      </c>
      <c r="G68">
        <f t="shared" si="1"/>
        <v>0.11200000000000002</v>
      </c>
      <c r="I68">
        <f t="shared" si="0"/>
        <v>0.14000000000000001</v>
      </c>
      <c r="J68">
        <v>0.28000000000000003</v>
      </c>
    </row>
    <row r="69" spans="4:10" outlineLevel="1" x14ac:dyDescent="0.25">
      <c r="D69" t="s">
        <v>72</v>
      </c>
      <c r="E69">
        <v>1110</v>
      </c>
      <c r="F69">
        <v>4</v>
      </c>
      <c r="G69">
        <f t="shared" si="1"/>
        <v>0.18400000000000002</v>
      </c>
      <c r="I69">
        <f t="shared" si="0"/>
        <v>0.23</v>
      </c>
      <c r="J69">
        <v>0.46</v>
      </c>
    </row>
    <row r="70" spans="4:10" outlineLevel="1" x14ac:dyDescent="0.25">
      <c r="D70" t="s">
        <v>72</v>
      </c>
      <c r="E70">
        <v>1110</v>
      </c>
      <c r="F70">
        <v>5</v>
      </c>
      <c r="G70">
        <f t="shared" si="1"/>
        <v>0.25600000000000001</v>
      </c>
      <c r="I70">
        <f t="shared" si="0"/>
        <v>0.32</v>
      </c>
      <c r="J70">
        <v>0.64</v>
      </c>
    </row>
    <row r="71" spans="4:10" outlineLevel="1" x14ac:dyDescent="0.25">
      <c r="D71" t="s">
        <v>72</v>
      </c>
      <c r="E71">
        <v>1110</v>
      </c>
      <c r="F71">
        <v>6</v>
      </c>
      <c r="G71">
        <f t="shared" si="1"/>
        <v>0.32800000000000007</v>
      </c>
      <c r="I71">
        <f t="shared" si="0"/>
        <v>0.41000000000000003</v>
      </c>
      <c r="J71">
        <v>0.82000000000000006</v>
      </c>
    </row>
    <row r="72" spans="4:10" outlineLevel="1" x14ac:dyDescent="0.25">
      <c r="D72" t="s">
        <v>72</v>
      </c>
      <c r="E72">
        <v>1110</v>
      </c>
      <c r="F72">
        <v>7</v>
      </c>
      <c r="G72">
        <f t="shared" si="1"/>
        <v>0.4</v>
      </c>
      <c r="I72">
        <f t="shared" si="0"/>
        <v>0.5</v>
      </c>
      <c r="J72">
        <v>1</v>
      </c>
    </row>
    <row r="73" spans="4:10" outlineLevel="1" x14ac:dyDescent="0.25">
      <c r="D73" t="s">
        <v>72</v>
      </c>
      <c r="E73">
        <v>1110</v>
      </c>
      <c r="F73">
        <v>8</v>
      </c>
      <c r="G73">
        <f t="shared" si="1"/>
        <v>0.4</v>
      </c>
      <c r="I73">
        <f t="shared" si="0"/>
        <v>0.5</v>
      </c>
      <c r="J73">
        <v>1</v>
      </c>
    </row>
    <row r="74" spans="4:10" outlineLevel="1" x14ac:dyDescent="0.25">
      <c r="D74" t="s">
        <v>72</v>
      </c>
      <c r="E74">
        <v>1110</v>
      </c>
      <c r="F74">
        <v>9</v>
      </c>
      <c r="G74">
        <f t="shared" si="1"/>
        <v>0.4</v>
      </c>
      <c r="I74">
        <f t="shared" si="0"/>
        <v>0.5</v>
      </c>
      <c r="J74">
        <v>1</v>
      </c>
    </row>
    <row r="75" spans="4:10" outlineLevel="1" x14ac:dyDescent="0.25">
      <c r="D75" t="s">
        <v>72</v>
      </c>
      <c r="E75">
        <v>1110</v>
      </c>
      <c r="F75">
        <v>10</v>
      </c>
      <c r="G75">
        <f t="shared" si="1"/>
        <v>0.4</v>
      </c>
      <c r="I75">
        <f t="shared" si="0"/>
        <v>0.5</v>
      </c>
      <c r="J75">
        <v>1</v>
      </c>
    </row>
    <row r="76" spans="4:10" outlineLevel="1" x14ac:dyDescent="0.25">
      <c r="D76" t="s">
        <v>72</v>
      </c>
      <c r="E76">
        <v>1110</v>
      </c>
      <c r="F76">
        <v>11</v>
      </c>
      <c r="G76">
        <f t="shared" si="1"/>
        <v>0.4</v>
      </c>
      <c r="I76">
        <f t="shared" si="0"/>
        <v>0.5</v>
      </c>
      <c r="J76">
        <v>1</v>
      </c>
    </row>
    <row r="77" spans="4:10" outlineLevel="1" x14ac:dyDescent="0.25">
      <c r="D77" t="s">
        <v>72</v>
      </c>
      <c r="E77">
        <v>1110</v>
      </c>
      <c r="F77">
        <v>12</v>
      </c>
      <c r="G77">
        <f t="shared" si="1"/>
        <v>0.4</v>
      </c>
      <c r="I77">
        <f t="shared" si="0"/>
        <v>0.5</v>
      </c>
      <c r="J77">
        <v>1</v>
      </c>
    </row>
    <row r="78" spans="4:10" outlineLevel="1" x14ac:dyDescent="0.25">
      <c r="D78" t="s">
        <v>72</v>
      </c>
      <c r="E78">
        <v>1110</v>
      </c>
      <c r="F78">
        <v>13</v>
      </c>
      <c r="G78">
        <f t="shared" si="1"/>
        <v>0.4</v>
      </c>
      <c r="I78">
        <f t="shared" si="0"/>
        <v>0.5</v>
      </c>
      <c r="J78">
        <v>1</v>
      </c>
    </row>
    <row r="79" spans="4:10" outlineLevel="1" x14ac:dyDescent="0.25">
      <c r="D79" t="s">
        <v>72</v>
      </c>
      <c r="E79">
        <v>1110</v>
      </c>
      <c r="F79">
        <v>14</v>
      </c>
      <c r="G79">
        <f t="shared" si="1"/>
        <v>0.4</v>
      </c>
      <c r="I79">
        <f t="shared" si="0"/>
        <v>0.5</v>
      </c>
      <c r="J79">
        <v>1</v>
      </c>
    </row>
    <row r="81" spans="4:11" x14ac:dyDescent="0.25">
      <c r="D81" s="13" t="s">
        <v>73</v>
      </c>
      <c r="E81" s="13">
        <v>1120</v>
      </c>
      <c r="F81" s="13" t="s">
        <v>56</v>
      </c>
      <c r="G81" s="13" t="s">
        <v>0</v>
      </c>
      <c r="J81" t="s">
        <v>118</v>
      </c>
      <c r="K81" s="21" t="s">
        <v>120</v>
      </c>
    </row>
    <row r="82" spans="4:11" outlineLevel="1" x14ac:dyDescent="0.25">
      <c r="D82" t="s">
        <v>73</v>
      </c>
      <c r="E82">
        <v>1120</v>
      </c>
      <c r="F82">
        <v>0</v>
      </c>
      <c r="G82">
        <f t="shared" ref="G82:G96" si="2" xml:space="preserve"> J82 * 0.5</f>
        <v>0</v>
      </c>
      <c r="J82" s="1">
        <v>0</v>
      </c>
    </row>
    <row r="83" spans="4:11" outlineLevel="1" x14ac:dyDescent="0.25">
      <c r="D83" t="s">
        <v>73</v>
      </c>
      <c r="E83">
        <v>1120</v>
      </c>
      <c r="F83">
        <v>1</v>
      </c>
      <c r="G83">
        <f t="shared" si="2"/>
        <v>0</v>
      </c>
      <c r="J83" s="1">
        <v>0</v>
      </c>
    </row>
    <row r="84" spans="4:11" outlineLevel="1" x14ac:dyDescent="0.25">
      <c r="D84" t="s">
        <v>73</v>
      </c>
      <c r="E84">
        <v>1120</v>
      </c>
      <c r="F84">
        <v>2</v>
      </c>
      <c r="G84">
        <f t="shared" si="2"/>
        <v>0</v>
      </c>
      <c r="J84" s="1">
        <v>0</v>
      </c>
    </row>
    <row r="85" spans="4:11" outlineLevel="1" x14ac:dyDescent="0.25">
      <c r="D85" t="s">
        <v>73</v>
      </c>
      <c r="E85">
        <v>1120</v>
      </c>
      <c r="F85">
        <v>3</v>
      </c>
      <c r="G85">
        <f t="shared" si="2"/>
        <v>7.1428571428571425E-2</v>
      </c>
      <c r="J85" s="1">
        <v>0.14285714285714285</v>
      </c>
    </row>
    <row r="86" spans="4:11" outlineLevel="1" x14ac:dyDescent="0.25">
      <c r="D86" t="s">
        <v>73</v>
      </c>
      <c r="E86">
        <v>1120</v>
      </c>
      <c r="F86">
        <v>4</v>
      </c>
      <c r="G86">
        <f t="shared" si="2"/>
        <v>0.14285714285714285</v>
      </c>
      <c r="J86" s="1">
        <v>0.2857142857142857</v>
      </c>
    </row>
    <row r="87" spans="4:11" outlineLevel="1" x14ac:dyDescent="0.25">
      <c r="D87" t="s">
        <v>73</v>
      </c>
      <c r="E87">
        <v>1120</v>
      </c>
      <c r="F87">
        <v>5</v>
      </c>
      <c r="G87">
        <f t="shared" si="2"/>
        <v>0.21428571428571427</v>
      </c>
      <c r="J87" s="1">
        <v>0.42857142857142855</v>
      </c>
    </row>
    <row r="88" spans="4:11" outlineLevel="1" x14ac:dyDescent="0.25">
      <c r="D88" t="s">
        <v>73</v>
      </c>
      <c r="E88">
        <v>1120</v>
      </c>
      <c r="F88">
        <v>6</v>
      </c>
      <c r="G88">
        <f t="shared" si="2"/>
        <v>0.2857142857142857</v>
      </c>
      <c r="J88" s="1">
        <v>0.5714285714285714</v>
      </c>
    </row>
    <row r="89" spans="4:11" outlineLevel="1" x14ac:dyDescent="0.25">
      <c r="D89" t="s">
        <v>73</v>
      </c>
      <c r="E89">
        <v>1120</v>
      </c>
      <c r="F89">
        <v>7</v>
      </c>
      <c r="G89">
        <f t="shared" si="2"/>
        <v>0.3571428571428571</v>
      </c>
      <c r="J89" s="1">
        <v>0.71428571428571419</v>
      </c>
    </row>
    <row r="90" spans="4:11" outlineLevel="1" x14ac:dyDescent="0.25">
      <c r="D90" t="s">
        <v>73</v>
      </c>
      <c r="E90">
        <v>1120</v>
      </c>
      <c r="F90">
        <v>8</v>
      </c>
      <c r="G90">
        <f t="shared" si="2"/>
        <v>0.42857142857142849</v>
      </c>
      <c r="J90" s="1">
        <v>0.85714285714285698</v>
      </c>
    </row>
    <row r="91" spans="4:11" outlineLevel="1" x14ac:dyDescent="0.25">
      <c r="D91" t="s">
        <v>73</v>
      </c>
      <c r="E91">
        <v>1120</v>
      </c>
      <c r="F91">
        <v>9</v>
      </c>
      <c r="G91">
        <f t="shared" si="2"/>
        <v>0.5</v>
      </c>
      <c r="J91" s="1">
        <v>1</v>
      </c>
    </row>
    <row r="92" spans="4:11" outlineLevel="1" x14ac:dyDescent="0.25">
      <c r="D92" t="s">
        <v>73</v>
      </c>
      <c r="E92">
        <v>1120</v>
      </c>
      <c r="F92">
        <v>10</v>
      </c>
      <c r="G92">
        <f t="shared" si="2"/>
        <v>0.5</v>
      </c>
      <c r="J92" s="1">
        <v>1</v>
      </c>
    </row>
    <row r="93" spans="4:11" outlineLevel="1" x14ac:dyDescent="0.25">
      <c r="D93" t="s">
        <v>73</v>
      </c>
      <c r="E93">
        <v>1120</v>
      </c>
      <c r="F93">
        <v>11</v>
      </c>
      <c r="G93">
        <f t="shared" si="2"/>
        <v>0.5</v>
      </c>
      <c r="J93" s="1">
        <v>1</v>
      </c>
    </row>
    <row r="94" spans="4:11" outlineLevel="1" x14ac:dyDescent="0.25">
      <c r="D94" t="s">
        <v>73</v>
      </c>
      <c r="E94">
        <v>1120</v>
      </c>
      <c r="F94">
        <v>12</v>
      </c>
      <c r="G94">
        <f t="shared" si="2"/>
        <v>0.5</v>
      </c>
      <c r="J94" s="1">
        <v>1</v>
      </c>
    </row>
    <row r="95" spans="4:11" outlineLevel="1" x14ac:dyDescent="0.25">
      <c r="D95" t="s">
        <v>73</v>
      </c>
      <c r="E95">
        <v>1120</v>
      </c>
      <c r="F95">
        <v>13</v>
      </c>
      <c r="G95">
        <f t="shared" si="2"/>
        <v>0.5</v>
      </c>
      <c r="J95" s="1">
        <v>1</v>
      </c>
    </row>
    <row r="96" spans="4:11" outlineLevel="1" x14ac:dyDescent="0.25">
      <c r="D96" t="s">
        <v>73</v>
      </c>
      <c r="E96">
        <v>1120</v>
      </c>
      <c r="F96">
        <v>14</v>
      </c>
      <c r="G96">
        <f t="shared" si="2"/>
        <v>0.5</v>
      </c>
      <c r="J96" s="1">
        <v>1</v>
      </c>
    </row>
    <row r="98" spans="4:11" x14ac:dyDescent="0.25">
      <c r="D98" s="13" t="s">
        <v>74</v>
      </c>
      <c r="E98" s="13">
        <v>1130</v>
      </c>
      <c r="F98" s="13" t="s">
        <v>56</v>
      </c>
      <c r="G98" s="13" t="s">
        <v>0</v>
      </c>
      <c r="J98" t="s">
        <v>118</v>
      </c>
      <c r="K98" s="21" t="s">
        <v>120</v>
      </c>
    </row>
    <row r="99" spans="4:11" ht="14.25" customHeight="1" outlineLevel="1" x14ac:dyDescent="0.25">
      <c r="D99" t="s">
        <v>74</v>
      </c>
      <c r="E99">
        <v>1130</v>
      </c>
      <c r="F99">
        <v>0</v>
      </c>
      <c r="G99">
        <f t="shared" ref="G99:G113" si="3" xml:space="preserve"> J99 * 0.5</f>
        <v>0</v>
      </c>
      <c r="J99" s="1">
        <v>0</v>
      </c>
    </row>
    <row r="100" spans="4:11" outlineLevel="1" x14ac:dyDescent="0.25">
      <c r="D100" t="s">
        <v>74</v>
      </c>
      <c r="E100">
        <v>1130</v>
      </c>
      <c r="F100">
        <v>1</v>
      </c>
      <c r="G100">
        <f t="shared" si="3"/>
        <v>0</v>
      </c>
      <c r="J100" s="1">
        <v>0</v>
      </c>
    </row>
    <row r="101" spans="4:11" outlineLevel="1" x14ac:dyDescent="0.25">
      <c r="D101" t="s">
        <v>74</v>
      </c>
      <c r="E101">
        <v>1130</v>
      </c>
      <c r="F101">
        <v>2</v>
      </c>
      <c r="G101">
        <f t="shared" si="3"/>
        <v>0</v>
      </c>
      <c r="J101" s="1">
        <v>0</v>
      </c>
    </row>
    <row r="102" spans="4:11" outlineLevel="1" x14ac:dyDescent="0.25">
      <c r="D102" t="s">
        <v>74</v>
      </c>
      <c r="E102">
        <v>1130</v>
      </c>
      <c r="F102">
        <v>3</v>
      </c>
      <c r="G102">
        <f t="shared" si="3"/>
        <v>4.1666666666666664E-2</v>
      </c>
      <c r="J102" s="1">
        <v>8.3333333333333329E-2</v>
      </c>
    </row>
    <row r="103" spans="4:11" outlineLevel="1" x14ac:dyDescent="0.25">
      <c r="D103" t="s">
        <v>74</v>
      </c>
      <c r="E103">
        <v>1130</v>
      </c>
      <c r="F103">
        <v>4</v>
      </c>
      <c r="G103">
        <f t="shared" si="3"/>
        <v>8.3333333333333329E-2</v>
      </c>
      <c r="J103" s="1">
        <v>0.16666666666666666</v>
      </c>
    </row>
    <row r="104" spans="4:11" outlineLevel="1" x14ac:dyDescent="0.25">
      <c r="D104" t="s">
        <v>74</v>
      </c>
      <c r="E104">
        <v>1130</v>
      </c>
      <c r="F104">
        <v>5</v>
      </c>
      <c r="G104">
        <f t="shared" si="3"/>
        <v>0.125</v>
      </c>
      <c r="J104" s="1">
        <v>0.25</v>
      </c>
    </row>
    <row r="105" spans="4:11" outlineLevel="1" x14ac:dyDescent="0.25">
      <c r="D105" t="s">
        <v>74</v>
      </c>
      <c r="E105">
        <v>1130</v>
      </c>
      <c r="F105">
        <v>6</v>
      </c>
      <c r="G105">
        <f t="shared" si="3"/>
        <v>0.16666666666666666</v>
      </c>
      <c r="J105" s="1">
        <v>0.33333333333333331</v>
      </c>
    </row>
    <row r="106" spans="4:11" outlineLevel="1" x14ac:dyDescent="0.25">
      <c r="D106" t="s">
        <v>74</v>
      </c>
      <c r="E106">
        <v>1130</v>
      </c>
      <c r="F106">
        <v>7</v>
      </c>
      <c r="G106">
        <f t="shared" si="3"/>
        <v>0.20833333333333331</v>
      </c>
      <c r="J106" s="1">
        <v>0.41666666666666663</v>
      </c>
    </row>
    <row r="107" spans="4:11" outlineLevel="1" x14ac:dyDescent="0.25">
      <c r="D107" t="s">
        <v>74</v>
      </c>
      <c r="E107">
        <v>1130</v>
      </c>
      <c r="F107">
        <v>8</v>
      </c>
      <c r="G107">
        <f t="shared" si="3"/>
        <v>0.24999999999999997</v>
      </c>
      <c r="J107" s="1">
        <v>0.49999999999999994</v>
      </c>
    </row>
    <row r="108" spans="4:11" outlineLevel="1" x14ac:dyDescent="0.25">
      <c r="D108" t="s">
        <v>74</v>
      </c>
      <c r="E108">
        <v>1130</v>
      </c>
      <c r="F108">
        <v>9</v>
      </c>
      <c r="G108">
        <f t="shared" si="3"/>
        <v>0.29166666666666663</v>
      </c>
      <c r="J108" s="1">
        <v>0.58333333333333326</v>
      </c>
    </row>
    <row r="109" spans="4:11" outlineLevel="1" x14ac:dyDescent="0.25">
      <c r="D109" t="s">
        <v>74</v>
      </c>
      <c r="E109">
        <v>1130</v>
      </c>
      <c r="F109">
        <v>10</v>
      </c>
      <c r="G109">
        <f t="shared" si="3"/>
        <v>0.33333333333333331</v>
      </c>
      <c r="J109" s="1">
        <v>0.66666666666666663</v>
      </c>
    </row>
    <row r="110" spans="4:11" outlineLevel="1" x14ac:dyDescent="0.25">
      <c r="D110" t="s">
        <v>74</v>
      </c>
      <c r="E110">
        <v>1130</v>
      </c>
      <c r="F110">
        <v>11</v>
      </c>
      <c r="G110">
        <f t="shared" si="3"/>
        <v>0.375</v>
      </c>
      <c r="J110" s="1">
        <v>0.75</v>
      </c>
    </row>
    <row r="111" spans="4:11" outlineLevel="1" x14ac:dyDescent="0.25">
      <c r="D111" t="s">
        <v>74</v>
      </c>
      <c r="E111">
        <v>1130</v>
      </c>
      <c r="F111">
        <v>12</v>
      </c>
      <c r="G111">
        <f t="shared" si="3"/>
        <v>0.41666666666666669</v>
      </c>
      <c r="J111" s="1">
        <v>0.83333333333333337</v>
      </c>
    </row>
    <row r="112" spans="4:11" outlineLevel="1" x14ac:dyDescent="0.25">
      <c r="D112" t="s">
        <v>74</v>
      </c>
      <c r="E112">
        <v>1130</v>
      </c>
      <c r="F112">
        <v>13</v>
      </c>
      <c r="G112">
        <f t="shared" si="3"/>
        <v>0.45833333333333337</v>
      </c>
      <c r="J112" s="1">
        <v>0.91666666666666674</v>
      </c>
    </row>
    <row r="113" spans="4:11" outlineLevel="1" x14ac:dyDescent="0.25">
      <c r="D113" t="s">
        <v>74</v>
      </c>
      <c r="E113">
        <v>1130</v>
      </c>
      <c r="F113">
        <v>14</v>
      </c>
      <c r="G113">
        <f t="shared" si="3"/>
        <v>0.5</v>
      </c>
      <c r="J113" s="1">
        <v>1</v>
      </c>
    </row>
    <row r="115" spans="4:11" x14ac:dyDescent="0.25">
      <c r="D115" s="13" t="s">
        <v>75</v>
      </c>
      <c r="E115" s="13">
        <v>1140</v>
      </c>
      <c r="F115" s="13" t="s">
        <v>56</v>
      </c>
      <c r="G115" s="13" t="s">
        <v>0</v>
      </c>
      <c r="J115" t="s">
        <v>118</v>
      </c>
      <c r="K115" s="21" t="s">
        <v>120</v>
      </c>
    </row>
    <row r="116" spans="4:11" ht="14.25" customHeight="1" outlineLevel="1" x14ac:dyDescent="0.25">
      <c r="D116" t="s">
        <v>75</v>
      </c>
      <c r="E116">
        <v>1140</v>
      </c>
      <c r="F116">
        <v>0</v>
      </c>
      <c r="G116">
        <f t="shared" ref="G116:G130" si="4" xml:space="preserve"> J116 * 0.5</f>
        <v>0</v>
      </c>
      <c r="J116" s="1">
        <v>0</v>
      </c>
    </row>
    <row r="117" spans="4:11" outlineLevel="1" x14ac:dyDescent="0.25">
      <c r="D117" t="s">
        <v>75</v>
      </c>
      <c r="E117">
        <v>1140</v>
      </c>
      <c r="F117">
        <v>1</v>
      </c>
      <c r="G117">
        <f t="shared" si="4"/>
        <v>0.125</v>
      </c>
      <c r="J117" s="1">
        <v>0.25</v>
      </c>
    </row>
    <row r="118" spans="4:11" outlineLevel="1" x14ac:dyDescent="0.25">
      <c r="D118" t="s">
        <v>75</v>
      </c>
      <c r="E118">
        <v>1140</v>
      </c>
      <c r="F118">
        <v>2</v>
      </c>
      <c r="G118">
        <f t="shared" si="4"/>
        <v>0.25</v>
      </c>
      <c r="J118" s="1">
        <v>0.5</v>
      </c>
    </row>
    <row r="119" spans="4:11" outlineLevel="1" x14ac:dyDescent="0.25">
      <c r="D119" t="s">
        <v>75</v>
      </c>
      <c r="E119">
        <v>1140</v>
      </c>
      <c r="F119">
        <v>3</v>
      </c>
      <c r="G119">
        <f t="shared" si="4"/>
        <v>0.375</v>
      </c>
      <c r="J119" s="1">
        <v>0.75</v>
      </c>
    </row>
    <row r="120" spans="4:11" outlineLevel="1" x14ac:dyDescent="0.25">
      <c r="D120" t="s">
        <v>75</v>
      </c>
      <c r="E120">
        <v>1140</v>
      </c>
      <c r="F120">
        <v>4</v>
      </c>
      <c r="G120">
        <f t="shared" si="4"/>
        <v>0.5</v>
      </c>
      <c r="J120" s="1">
        <v>1</v>
      </c>
    </row>
    <row r="121" spans="4:11" outlineLevel="1" x14ac:dyDescent="0.25">
      <c r="D121" t="s">
        <v>75</v>
      </c>
      <c r="E121">
        <v>1140</v>
      </c>
      <c r="F121">
        <v>5</v>
      </c>
      <c r="G121">
        <f t="shared" si="4"/>
        <v>0.5</v>
      </c>
      <c r="J121" s="1">
        <v>1</v>
      </c>
    </row>
    <row r="122" spans="4:11" outlineLevel="1" x14ac:dyDescent="0.25">
      <c r="D122" t="s">
        <v>75</v>
      </c>
      <c r="E122">
        <v>1140</v>
      </c>
      <c r="F122">
        <v>6</v>
      </c>
      <c r="G122">
        <f t="shared" si="4"/>
        <v>0.5</v>
      </c>
      <c r="J122" s="1">
        <v>1</v>
      </c>
    </row>
    <row r="123" spans="4:11" outlineLevel="1" x14ac:dyDescent="0.25">
      <c r="D123" t="s">
        <v>75</v>
      </c>
      <c r="E123">
        <v>1140</v>
      </c>
      <c r="F123">
        <v>7</v>
      </c>
      <c r="G123">
        <f t="shared" si="4"/>
        <v>0.5</v>
      </c>
      <c r="J123" s="1">
        <v>1</v>
      </c>
    </row>
    <row r="124" spans="4:11" outlineLevel="1" x14ac:dyDescent="0.25">
      <c r="D124" t="s">
        <v>75</v>
      </c>
      <c r="E124">
        <v>1140</v>
      </c>
      <c r="F124">
        <v>8</v>
      </c>
      <c r="G124">
        <f t="shared" si="4"/>
        <v>0.5</v>
      </c>
      <c r="J124" s="1">
        <v>1</v>
      </c>
    </row>
    <row r="125" spans="4:11" outlineLevel="1" x14ac:dyDescent="0.25">
      <c r="D125" t="s">
        <v>75</v>
      </c>
      <c r="E125">
        <v>1140</v>
      </c>
      <c r="F125">
        <v>9</v>
      </c>
      <c r="G125">
        <f t="shared" si="4"/>
        <v>0.5</v>
      </c>
      <c r="J125" s="1">
        <v>1</v>
      </c>
    </row>
    <row r="126" spans="4:11" outlineLevel="1" x14ac:dyDescent="0.25">
      <c r="D126" t="s">
        <v>75</v>
      </c>
      <c r="E126">
        <v>1140</v>
      </c>
      <c r="F126">
        <v>10</v>
      </c>
      <c r="G126">
        <f t="shared" si="4"/>
        <v>0.5</v>
      </c>
      <c r="J126" s="1">
        <v>1</v>
      </c>
    </row>
    <row r="127" spans="4:11" outlineLevel="1" x14ac:dyDescent="0.25">
      <c r="D127" t="s">
        <v>75</v>
      </c>
      <c r="E127">
        <v>1140</v>
      </c>
      <c r="F127">
        <v>11</v>
      </c>
      <c r="G127">
        <f t="shared" si="4"/>
        <v>0.5</v>
      </c>
      <c r="J127" s="1">
        <v>1</v>
      </c>
    </row>
    <row r="128" spans="4:11" outlineLevel="1" x14ac:dyDescent="0.25">
      <c r="D128" t="s">
        <v>75</v>
      </c>
      <c r="E128">
        <v>1140</v>
      </c>
      <c r="F128">
        <v>12</v>
      </c>
      <c r="G128">
        <f t="shared" si="4"/>
        <v>0.5</v>
      </c>
      <c r="J128" s="1">
        <v>1</v>
      </c>
    </row>
    <row r="129" spans="4:10" outlineLevel="1" x14ac:dyDescent="0.25">
      <c r="D129" t="s">
        <v>75</v>
      </c>
      <c r="E129">
        <v>1140</v>
      </c>
      <c r="F129">
        <v>13</v>
      </c>
      <c r="G129">
        <f t="shared" si="4"/>
        <v>0.5</v>
      </c>
      <c r="J129" s="1">
        <v>1</v>
      </c>
    </row>
    <row r="130" spans="4:10" ht="15.75" customHeight="1" outlineLevel="1" x14ac:dyDescent="0.25">
      <c r="D130" t="s">
        <v>75</v>
      </c>
      <c r="E130">
        <v>1140</v>
      </c>
      <c r="F130">
        <v>14</v>
      </c>
      <c r="G130">
        <f t="shared" si="4"/>
        <v>0.5</v>
      </c>
      <c r="J130" s="1">
        <v>1</v>
      </c>
    </row>
    <row r="132" spans="4:10" x14ac:dyDescent="0.25">
      <c r="D132" s="13" t="s">
        <v>76</v>
      </c>
      <c r="E132" s="13">
        <v>1210</v>
      </c>
      <c r="F132" s="13" t="s">
        <v>55</v>
      </c>
      <c r="G132" s="13" t="s">
        <v>0</v>
      </c>
    </row>
    <row r="133" spans="4:10" ht="14.25" customHeight="1" outlineLevel="1" x14ac:dyDescent="0.25">
      <c r="D133" t="s">
        <v>76</v>
      </c>
      <c r="E133">
        <v>1210</v>
      </c>
      <c r="F133">
        <v>0</v>
      </c>
      <c r="G133">
        <v>0</v>
      </c>
    </row>
    <row r="134" spans="4:10" outlineLevel="1" x14ac:dyDescent="0.25">
      <c r="D134" t="s">
        <v>76</v>
      </c>
      <c r="E134">
        <v>1210</v>
      </c>
      <c r="F134">
        <v>0.2</v>
      </c>
      <c r="G134">
        <v>0</v>
      </c>
    </row>
    <row r="135" spans="4:10" outlineLevel="1" x14ac:dyDescent="0.25">
      <c r="D135" t="s">
        <v>76</v>
      </c>
      <c r="E135">
        <v>1210</v>
      </c>
      <c r="F135">
        <v>0.4</v>
      </c>
      <c r="G135">
        <v>5.3666666666666689E-2</v>
      </c>
    </row>
    <row r="136" spans="4:10" outlineLevel="1" x14ac:dyDescent="0.25">
      <c r="D136" t="s">
        <v>76</v>
      </c>
      <c r="E136">
        <v>1210</v>
      </c>
      <c r="F136">
        <v>0.60000000000000009</v>
      </c>
      <c r="G136">
        <v>0.16300000000000003</v>
      </c>
    </row>
    <row r="137" spans="4:10" outlineLevel="1" x14ac:dyDescent="0.25">
      <c r="D137" t="s">
        <v>76</v>
      </c>
      <c r="E137">
        <v>1210</v>
      </c>
      <c r="F137">
        <v>0.8</v>
      </c>
      <c r="G137">
        <v>0.3003333333333334</v>
      </c>
    </row>
    <row r="138" spans="4:10" outlineLevel="1" x14ac:dyDescent="0.25">
      <c r="D138" t="s">
        <v>76</v>
      </c>
      <c r="E138">
        <v>1210</v>
      </c>
      <c r="F138">
        <v>1</v>
      </c>
      <c r="G138">
        <v>0.40166666666666673</v>
      </c>
    </row>
    <row r="139" spans="4:10" outlineLevel="1" x14ac:dyDescent="0.25">
      <c r="D139" t="s">
        <v>76</v>
      </c>
      <c r="E139">
        <v>1210</v>
      </c>
      <c r="F139">
        <v>1.2</v>
      </c>
      <c r="G139">
        <v>0.53700000000000014</v>
      </c>
    </row>
    <row r="140" spans="4:10" outlineLevel="1" x14ac:dyDescent="0.25">
      <c r="D140" t="s">
        <v>76</v>
      </c>
      <c r="E140">
        <v>1210</v>
      </c>
      <c r="F140">
        <v>1.4</v>
      </c>
      <c r="G140">
        <v>0.67233333333333345</v>
      </c>
    </row>
    <row r="141" spans="4:10" outlineLevel="1" x14ac:dyDescent="0.25">
      <c r="D141" t="s">
        <v>76</v>
      </c>
      <c r="E141">
        <v>1210</v>
      </c>
      <c r="F141">
        <v>1.5999999999999999</v>
      </c>
      <c r="G141">
        <v>0.76</v>
      </c>
    </row>
    <row r="142" spans="4:10" outlineLevel="1" x14ac:dyDescent="0.25">
      <c r="D142" t="s">
        <v>76</v>
      </c>
      <c r="E142">
        <v>1210</v>
      </c>
      <c r="F142">
        <v>1.7999999999999998</v>
      </c>
      <c r="G142">
        <v>0.79999999999999993</v>
      </c>
    </row>
    <row r="143" spans="4:10" outlineLevel="1" x14ac:dyDescent="0.25">
      <c r="D143" t="s">
        <v>76</v>
      </c>
      <c r="E143">
        <v>1210</v>
      </c>
      <c r="F143">
        <v>1.9999999999999998</v>
      </c>
      <c r="G143">
        <v>0.83999999999999986</v>
      </c>
    </row>
    <row r="144" spans="4:10" outlineLevel="1" x14ac:dyDescent="0.25">
      <c r="D144" t="s">
        <v>76</v>
      </c>
      <c r="E144">
        <v>1210</v>
      </c>
      <c r="F144">
        <v>2.1999999999999997</v>
      </c>
      <c r="G144">
        <v>0.87999999999999978</v>
      </c>
    </row>
    <row r="145" spans="4:7" outlineLevel="1" x14ac:dyDescent="0.25">
      <c r="D145" t="s">
        <v>76</v>
      </c>
      <c r="E145">
        <v>1210</v>
      </c>
      <c r="F145">
        <v>2.4</v>
      </c>
      <c r="G145">
        <v>0.91999999999999993</v>
      </c>
    </row>
    <row r="146" spans="4:7" outlineLevel="1" x14ac:dyDescent="0.25">
      <c r="D146" t="s">
        <v>76</v>
      </c>
      <c r="E146">
        <v>1210</v>
      </c>
      <c r="F146">
        <v>2.6</v>
      </c>
      <c r="G146">
        <v>0.91999999999999993</v>
      </c>
    </row>
    <row r="147" spans="4:7" outlineLevel="1" x14ac:dyDescent="0.25">
      <c r="D147" t="s">
        <v>76</v>
      </c>
      <c r="E147">
        <v>1210</v>
      </c>
      <c r="F147">
        <v>2.8000000000000003</v>
      </c>
      <c r="G147">
        <v>0.91999999999999993</v>
      </c>
    </row>
    <row r="148" spans="4:7" outlineLevel="1" x14ac:dyDescent="0.25">
      <c r="D148" t="s">
        <v>76</v>
      </c>
      <c r="E148">
        <v>1210</v>
      </c>
      <c r="F148">
        <v>3.0000000000000004</v>
      </c>
      <c r="G148">
        <v>0.91999999999999993</v>
      </c>
    </row>
    <row r="149" spans="4:7" outlineLevel="1" x14ac:dyDescent="0.25">
      <c r="D149" t="s">
        <v>76</v>
      </c>
      <c r="E149">
        <v>1210</v>
      </c>
      <c r="F149">
        <v>3.2000000000000006</v>
      </c>
      <c r="G149">
        <v>0.91999999999999993</v>
      </c>
    </row>
    <row r="150" spans="4:7" outlineLevel="1" x14ac:dyDescent="0.25">
      <c r="D150" t="s">
        <v>76</v>
      </c>
      <c r="E150">
        <v>1210</v>
      </c>
      <c r="F150">
        <v>3.4000000000000008</v>
      </c>
      <c r="G150">
        <v>0.91999999999999993</v>
      </c>
    </row>
    <row r="151" spans="4:7" outlineLevel="1" x14ac:dyDescent="0.25">
      <c r="D151" t="s">
        <v>76</v>
      </c>
      <c r="E151">
        <v>1210</v>
      </c>
      <c r="F151">
        <v>3.600000000000001</v>
      </c>
      <c r="G151">
        <v>0.91999999999999993</v>
      </c>
    </row>
    <row r="152" spans="4:7" outlineLevel="1" x14ac:dyDescent="0.25">
      <c r="D152" t="s">
        <v>76</v>
      </c>
      <c r="E152">
        <v>1210</v>
      </c>
      <c r="F152">
        <v>3.8000000000000012</v>
      </c>
      <c r="G152">
        <v>0.91999999999999993</v>
      </c>
    </row>
    <row r="153" spans="4:7" outlineLevel="1" x14ac:dyDescent="0.25">
      <c r="D153" t="s">
        <v>76</v>
      </c>
      <c r="E153">
        <v>1210</v>
      </c>
      <c r="F153">
        <v>4.0000000000000009</v>
      </c>
      <c r="G153">
        <v>0.91999999999999993</v>
      </c>
    </row>
    <row r="155" spans="4:7" x14ac:dyDescent="0.25">
      <c r="D155" s="13" t="s">
        <v>77</v>
      </c>
      <c r="E155" s="13">
        <v>1220</v>
      </c>
      <c r="F155" s="13" t="s">
        <v>55</v>
      </c>
      <c r="G155" s="13" t="s">
        <v>0</v>
      </c>
    </row>
    <row r="156" spans="4:7" ht="14.25" hidden="1" customHeight="1" outlineLevel="1" x14ac:dyDescent="0.25">
      <c r="D156" t="s">
        <v>77</v>
      </c>
      <c r="E156">
        <v>1220</v>
      </c>
      <c r="F156">
        <v>0</v>
      </c>
      <c r="G156">
        <v>0</v>
      </c>
    </row>
    <row r="157" spans="4:7" hidden="1" outlineLevel="1" x14ac:dyDescent="0.25">
      <c r="D157" t="s">
        <v>77</v>
      </c>
      <c r="E157">
        <v>1220</v>
      </c>
      <c r="F157">
        <v>0.2</v>
      </c>
      <c r="G157">
        <v>0</v>
      </c>
    </row>
    <row r="158" spans="4:7" hidden="1" outlineLevel="1" x14ac:dyDescent="0.25">
      <c r="D158" t="s">
        <v>77</v>
      </c>
      <c r="E158">
        <v>1220</v>
      </c>
      <c r="F158">
        <v>0.4</v>
      </c>
      <c r="G158">
        <v>5.3666666666666689E-2</v>
      </c>
    </row>
    <row r="159" spans="4:7" hidden="1" outlineLevel="1" x14ac:dyDescent="0.25">
      <c r="D159" t="s">
        <v>77</v>
      </c>
      <c r="E159">
        <v>1220</v>
      </c>
      <c r="F159">
        <v>0.60000000000000009</v>
      </c>
      <c r="G159">
        <v>0.16300000000000003</v>
      </c>
    </row>
    <row r="160" spans="4:7" hidden="1" outlineLevel="1" x14ac:dyDescent="0.25">
      <c r="D160" t="s">
        <v>77</v>
      </c>
      <c r="E160">
        <v>1220</v>
      </c>
      <c r="F160">
        <v>0.8</v>
      </c>
      <c r="G160">
        <v>0.3003333333333334</v>
      </c>
    </row>
    <row r="161" spans="4:7" hidden="1" outlineLevel="1" x14ac:dyDescent="0.25">
      <c r="D161" t="s">
        <v>77</v>
      </c>
      <c r="E161">
        <v>1220</v>
      </c>
      <c r="F161">
        <v>1</v>
      </c>
      <c r="G161">
        <v>0.40166666666666667</v>
      </c>
    </row>
    <row r="162" spans="4:7" hidden="1" outlineLevel="1" x14ac:dyDescent="0.25">
      <c r="D162" t="s">
        <v>77</v>
      </c>
      <c r="E162">
        <v>1220</v>
      </c>
      <c r="F162">
        <v>1.2</v>
      </c>
      <c r="G162">
        <v>0.53700000000000014</v>
      </c>
    </row>
    <row r="163" spans="4:7" hidden="1" outlineLevel="1" x14ac:dyDescent="0.25">
      <c r="D163" t="s">
        <v>77</v>
      </c>
      <c r="E163">
        <v>1220</v>
      </c>
      <c r="F163">
        <v>1.4</v>
      </c>
      <c r="G163">
        <v>0.67233333333333345</v>
      </c>
    </row>
    <row r="164" spans="4:7" hidden="1" outlineLevel="1" x14ac:dyDescent="0.25">
      <c r="D164" t="s">
        <v>77</v>
      </c>
      <c r="E164">
        <v>1220</v>
      </c>
      <c r="F164">
        <v>1.5999999999999999</v>
      </c>
      <c r="G164">
        <v>0.7599999999999999</v>
      </c>
    </row>
    <row r="165" spans="4:7" hidden="1" outlineLevel="1" x14ac:dyDescent="0.25">
      <c r="D165" t="s">
        <v>77</v>
      </c>
      <c r="E165">
        <v>1220</v>
      </c>
      <c r="F165">
        <v>1.7999999999999998</v>
      </c>
      <c r="G165">
        <v>0.79999999999999982</v>
      </c>
    </row>
    <row r="166" spans="4:7" hidden="1" outlineLevel="1" x14ac:dyDescent="0.25">
      <c r="D166" t="s">
        <v>77</v>
      </c>
      <c r="E166">
        <v>1220</v>
      </c>
      <c r="F166">
        <v>1.9999999999999998</v>
      </c>
      <c r="G166">
        <v>0.83999999999999986</v>
      </c>
    </row>
    <row r="167" spans="4:7" hidden="1" outlineLevel="1" x14ac:dyDescent="0.25">
      <c r="D167" t="s">
        <v>77</v>
      </c>
      <c r="E167">
        <v>1220</v>
      </c>
      <c r="F167">
        <v>2.1999999999999997</v>
      </c>
      <c r="G167">
        <v>0.87999999999999989</v>
      </c>
    </row>
    <row r="168" spans="4:7" hidden="1" outlineLevel="1" x14ac:dyDescent="0.25">
      <c r="D168" t="s">
        <v>77</v>
      </c>
      <c r="E168">
        <v>1220</v>
      </c>
      <c r="F168">
        <v>2.4</v>
      </c>
      <c r="G168">
        <v>0.91999999999999993</v>
      </c>
    </row>
    <row r="169" spans="4:7" hidden="1" outlineLevel="1" x14ac:dyDescent="0.25">
      <c r="D169" t="s">
        <v>77</v>
      </c>
      <c r="E169">
        <v>1220</v>
      </c>
      <c r="F169">
        <v>2.6</v>
      </c>
      <c r="G169">
        <v>0.91999999999999993</v>
      </c>
    </row>
    <row r="170" spans="4:7" hidden="1" outlineLevel="1" x14ac:dyDescent="0.25">
      <c r="D170" t="s">
        <v>77</v>
      </c>
      <c r="E170">
        <v>1220</v>
      </c>
      <c r="F170">
        <v>2.8000000000000003</v>
      </c>
      <c r="G170">
        <v>0.91999999999999993</v>
      </c>
    </row>
    <row r="171" spans="4:7" hidden="1" outlineLevel="1" x14ac:dyDescent="0.25">
      <c r="D171" t="s">
        <v>77</v>
      </c>
      <c r="E171">
        <v>1220</v>
      </c>
      <c r="F171">
        <v>3.0000000000000004</v>
      </c>
      <c r="G171">
        <v>0.91999999999999993</v>
      </c>
    </row>
    <row r="172" spans="4:7" hidden="1" outlineLevel="1" x14ac:dyDescent="0.25">
      <c r="D172" t="s">
        <v>77</v>
      </c>
      <c r="E172">
        <v>1220</v>
      </c>
      <c r="F172">
        <v>3.2000000000000006</v>
      </c>
      <c r="G172">
        <v>0.91999999999999993</v>
      </c>
    </row>
    <row r="173" spans="4:7" hidden="1" outlineLevel="1" x14ac:dyDescent="0.25">
      <c r="D173" t="s">
        <v>77</v>
      </c>
      <c r="E173">
        <v>1220</v>
      </c>
      <c r="F173">
        <v>3.4000000000000008</v>
      </c>
      <c r="G173">
        <v>0.91999999999999993</v>
      </c>
    </row>
    <row r="174" spans="4:7" hidden="1" outlineLevel="1" x14ac:dyDescent="0.25">
      <c r="D174" t="s">
        <v>77</v>
      </c>
      <c r="E174">
        <v>1220</v>
      </c>
      <c r="F174">
        <v>3.600000000000001</v>
      </c>
      <c r="G174">
        <v>0.91999999999999993</v>
      </c>
    </row>
    <row r="175" spans="4:7" hidden="1" outlineLevel="1" x14ac:dyDescent="0.25">
      <c r="D175" t="s">
        <v>77</v>
      </c>
      <c r="E175">
        <v>1220</v>
      </c>
      <c r="F175">
        <v>3.8000000000000012</v>
      </c>
      <c r="G175">
        <v>0.91999999999999993</v>
      </c>
    </row>
    <row r="176" spans="4:7" hidden="1" outlineLevel="1" x14ac:dyDescent="0.25">
      <c r="D176" t="s">
        <v>77</v>
      </c>
      <c r="E176">
        <v>1220</v>
      </c>
      <c r="F176">
        <v>4.0000000000000009</v>
      </c>
      <c r="G176">
        <v>0.91999999999999993</v>
      </c>
    </row>
    <row r="177" spans="4:7" collapsed="1" x14ac:dyDescent="0.25"/>
    <row r="178" spans="4:7" x14ac:dyDescent="0.25">
      <c r="D178" s="13" t="s">
        <v>78</v>
      </c>
      <c r="E178" s="13">
        <v>1310</v>
      </c>
      <c r="F178" s="13" t="s">
        <v>56</v>
      </c>
      <c r="G178" s="13" t="s">
        <v>0</v>
      </c>
    </row>
    <row r="179" spans="4:7" ht="14.25" hidden="1" customHeight="1" outlineLevel="1" x14ac:dyDescent="0.25">
      <c r="D179" t="s">
        <v>78</v>
      </c>
      <c r="E179">
        <v>1310</v>
      </c>
      <c r="F179" s="2">
        <v>0</v>
      </c>
      <c r="G179" s="17">
        <v>0</v>
      </c>
    </row>
    <row r="180" spans="4:7" hidden="1" outlineLevel="1" x14ac:dyDescent="0.25">
      <c r="D180" t="s">
        <v>78</v>
      </c>
      <c r="E180">
        <v>1310</v>
      </c>
      <c r="F180" s="2">
        <v>1</v>
      </c>
      <c r="G180" s="17">
        <v>0</v>
      </c>
    </row>
    <row r="181" spans="4:7" hidden="1" outlineLevel="1" x14ac:dyDescent="0.25">
      <c r="D181" t="s">
        <v>78</v>
      </c>
      <c r="E181">
        <v>1310</v>
      </c>
      <c r="F181" s="2">
        <v>2</v>
      </c>
      <c r="G181" s="17">
        <v>0.2</v>
      </c>
    </row>
    <row r="182" spans="4:7" hidden="1" outlineLevel="1" x14ac:dyDescent="0.25">
      <c r="D182" t="s">
        <v>78</v>
      </c>
      <c r="E182">
        <v>1310</v>
      </c>
      <c r="F182" s="2">
        <v>3</v>
      </c>
      <c r="G182" s="17">
        <v>0.5</v>
      </c>
    </row>
    <row r="183" spans="4:7" hidden="1" outlineLevel="1" x14ac:dyDescent="0.25">
      <c r="D183" t="s">
        <v>78</v>
      </c>
      <c r="E183">
        <v>1310</v>
      </c>
      <c r="F183" s="2">
        <v>4</v>
      </c>
      <c r="G183" s="17">
        <v>0.625</v>
      </c>
    </row>
    <row r="184" spans="4:7" hidden="1" outlineLevel="1" x14ac:dyDescent="0.25">
      <c r="D184" t="s">
        <v>78</v>
      </c>
      <c r="E184">
        <v>1310</v>
      </c>
      <c r="F184" s="2">
        <v>5</v>
      </c>
      <c r="G184" s="17">
        <v>0.75</v>
      </c>
    </row>
    <row r="185" spans="4:7" hidden="1" outlineLevel="1" x14ac:dyDescent="0.25">
      <c r="D185" t="s">
        <v>78</v>
      </c>
      <c r="E185">
        <v>1310</v>
      </c>
      <c r="F185" s="2">
        <v>6</v>
      </c>
      <c r="G185" s="17">
        <v>0.875</v>
      </c>
    </row>
    <row r="186" spans="4:7" hidden="1" outlineLevel="1" x14ac:dyDescent="0.25">
      <c r="D186" t="s">
        <v>78</v>
      </c>
      <c r="E186">
        <v>1310</v>
      </c>
      <c r="F186" s="2">
        <v>7</v>
      </c>
      <c r="G186" s="17">
        <v>1</v>
      </c>
    </row>
    <row r="187" spans="4:7" hidden="1" outlineLevel="1" x14ac:dyDescent="0.25">
      <c r="D187" t="s">
        <v>78</v>
      </c>
      <c r="E187">
        <v>1310</v>
      </c>
      <c r="F187" s="2">
        <v>8</v>
      </c>
      <c r="G187" s="17">
        <v>1</v>
      </c>
    </row>
    <row r="188" spans="4:7" hidden="1" outlineLevel="1" x14ac:dyDescent="0.25">
      <c r="D188" t="s">
        <v>78</v>
      </c>
      <c r="E188">
        <v>1310</v>
      </c>
      <c r="F188" s="2">
        <v>9</v>
      </c>
      <c r="G188" s="17">
        <v>1</v>
      </c>
    </row>
    <row r="189" spans="4:7" hidden="1" outlineLevel="1" x14ac:dyDescent="0.25">
      <c r="D189" t="s">
        <v>78</v>
      </c>
      <c r="E189">
        <v>1310</v>
      </c>
      <c r="F189" s="2">
        <v>10</v>
      </c>
      <c r="G189" s="17">
        <v>1</v>
      </c>
    </row>
    <row r="190" spans="4:7" hidden="1" outlineLevel="1" x14ac:dyDescent="0.25">
      <c r="D190" t="s">
        <v>78</v>
      </c>
      <c r="E190">
        <v>1310</v>
      </c>
      <c r="F190" s="2">
        <v>11</v>
      </c>
      <c r="G190" s="17">
        <v>1</v>
      </c>
    </row>
    <row r="191" spans="4:7" hidden="1" outlineLevel="1" x14ac:dyDescent="0.25">
      <c r="D191" t="s">
        <v>78</v>
      </c>
      <c r="E191">
        <v>1310</v>
      </c>
      <c r="F191" s="2">
        <v>12</v>
      </c>
      <c r="G191" s="17">
        <v>1</v>
      </c>
    </row>
    <row r="192" spans="4:7" hidden="1" outlineLevel="1" x14ac:dyDescent="0.25">
      <c r="D192" t="s">
        <v>78</v>
      </c>
      <c r="E192">
        <v>1310</v>
      </c>
      <c r="F192" s="2">
        <v>13</v>
      </c>
      <c r="G192" s="17">
        <v>1</v>
      </c>
    </row>
    <row r="193" spans="4:7" hidden="1" outlineLevel="1" x14ac:dyDescent="0.25">
      <c r="D193" t="s">
        <v>78</v>
      </c>
      <c r="E193">
        <v>1310</v>
      </c>
      <c r="F193" s="2">
        <v>14</v>
      </c>
      <c r="G193" s="17">
        <v>1</v>
      </c>
    </row>
    <row r="194" spans="4:7" collapsed="1" x14ac:dyDescent="0.25"/>
    <row r="195" spans="4:7" x14ac:dyDescent="0.25">
      <c r="D195" s="13" t="s">
        <v>79</v>
      </c>
      <c r="E195" s="13">
        <v>1320</v>
      </c>
      <c r="F195" s="13" t="s">
        <v>56</v>
      </c>
      <c r="G195" s="13" t="s">
        <v>0</v>
      </c>
    </row>
    <row r="196" spans="4:7" ht="14.25" customHeight="1" outlineLevel="1" x14ac:dyDescent="0.25">
      <c r="D196" t="s">
        <v>79</v>
      </c>
      <c r="E196">
        <v>1320</v>
      </c>
      <c r="F196" s="2">
        <v>0</v>
      </c>
      <c r="G196" s="17">
        <v>0</v>
      </c>
    </row>
    <row r="197" spans="4:7" outlineLevel="1" x14ac:dyDescent="0.25">
      <c r="D197" t="s">
        <v>79</v>
      </c>
      <c r="E197">
        <v>1320</v>
      </c>
      <c r="F197" s="2">
        <v>1</v>
      </c>
      <c r="G197" s="17">
        <v>7.1428571428571425E-2</v>
      </c>
    </row>
    <row r="198" spans="4:7" outlineLevel="1" x14ac:dyDescent="0.25">
      <c r="D198" t="s">
        <v>79</v>
      </c>
      <c r="E198">
        <v>1320</v>
      </c>
      <c r="F198" s="2">
        <v>2</v>
      </c>
      <c r="G198" s="17">
        <v>0.14285714285714285</v>
      </c>
    </row>
    <row r="199" spans="4:7" outlineLevel="1" x14ac:dyDescent="0.25">
      <c r="D199" t="s">
        <v>79</v>
      </c>
      <c r="E199">
        <v>1320</v>
      </c>
      <c r="F199" s="2">
        <v>3</v>
      </c>
      <c r="G199" s="17">
        <v>0.21428571428571427</v>
      </c>
    </row>
    <row r="200" spans="4:7" outlineLevel="1" x14ac:dyDescent="0.25">
      <c r="D200" t="s">
        <v>79</v>
      </c>
      <c r="E200">
        <v>1320</v>
      </c>
      <c r="F200" s="2">
        <v>4</v>
      </c>
      <c r="G200" s="17">
        <v>0.2857142857142857</v>
      </c>
    </row>
    <row r="201" spans="4:7" outlineLevel="1" x14ac:dyDescent="0.25">
      <c r="D201" t="s">
        <v>79</v>
      </c>
      <c r="E201">
        <v>1320</v>
      </c>
      <c r="F201" s="2">
        <v>5</v>
      </c>
      <c r="G201" s="17">
        <v>0.3571428571428571</v>
      </c>
    </row>
    <row r="202" spans="4:7" outlineLevel="1" x14ac:dyDescent="0.25">
      <c r="D202" t="s">
        <v>79</v>
      </c>
      <c r="E202">
        <v>1320</v>
      </c>
      <c r="F202" s="2">
        <v>6</v>
      </c>
      <c r="G202" s="17">
        <v>0.42857142857142849</v>
      </c>
    </row>
    <row r="203" spans="4:7" outlineLevel="1" x14ac:dyDescent="0.25">
      <c r="D203" t="s">
        <v>79</v>
      </c>
      <c r="E203">
        <v>1320</v>
      </c>
      <c r="F203" s="2">
        <v>7</v>
      </c>
      <c r="G203" s="17">
        <v>0.5</v>
      </c>
    </row>
    <row r="204" spans="4:7" outlineLevel="1" x14ac:dyDescent="0.25">
      <c r="D204" t="s">
        <v>79</v>
      </c>
      <c r="E204">
        <v>1320</v>
      </c>
      <c r="F204" s="2">
        <v>8</v>
      </c>
      <c r="G204" s="17">
        <v>0.5714285714285714</v>
      </c>
    </row>
    <row r="205" spans="4:7" outlineLevel="1" x14ac:dyDescent="0.25">
      <c r="D205" t="s">
        <v>79</v>
      </c>
      <c r="E205">
        <v>1320</v>
      </c>
      <c r="F205" s="2">
        <v>9</v>
      </c>
      <c r="G205" s="17">
        <v>0.64285714285714279</v>
      </c>
    </row>
    <row r="206" spans="4:7" outlineLevel="1" x14ac:dyDescent="0.25">
      <c r="D206" t="s">
        <v>79</v>
      </c>
      <c r="E206">
        <v>1320</v>
      </c>
      <c r="F206" s="2">
        <v>10</v>
      </c>
      <c r="G206" s="17">
        <v>0.71428571428571419</v>
      </c>
    </row>
    <row r="207" spans="4:7" outlineLevel="1" x14ac:dyDescent="0.25">
      <c r="D207" t="s">
        <v>79</v>
      </c>
      <c r="E207">
        <v>1320</v>
      </c>
      <c r="F207" s="2">
        <v>11</v>
      </c>
      <c r="G207" s="17">
        <v>0.78571428571428559</v>
      </c>
    </row>
    <row r="208" spans="4:7" outlineLevel="1" x14ac:dyDescent="0.25">
      <c r="D208" t="s">
        <v>79</v>
      </c>
      <c r="E208">
        <v>1320</v>
      </c>
      <c r="F208" s="2">
        <v>12</v>
      </c>
      <c r="G208" s="17">
        <v>0.85714285714285698</v>
      </c>
    </row>
    <row r="209" spans="4:7" outlineLevel="1" x14ac:dyDescent="0.25">
      <c r="D209" t="s">
        <v>79</v>
      </c>
      <c r="E209">
        <v>1320</v>
      </c>
      <c r="F209" s="2">
        <v>13</v>
      </c>
      <c r="G209" s="17">
        <v>0.92857142857142838</v>
      </c>
    </row>
    <row r="210" spans="4:7" outlineLevel="1" x14ac:dyDescent="0.25">
      <c r="D210" t="s">
        <v>79</v>
      </c>
      <c r="E210">
        <v>1320</v>
      </c>
      <c r="F210" s="2">
        <v>14</v>
      </c>
      <c r="G210" s="17">
        <v>1</v>
      </c>
    </row>
    <row r="212" spans="4:7" x14ac:dyDescent="0.25">
      <c r="D212" s="13" t="s">
        <v>80</v>
      </c>
      <c r="E212" s="13">
        <v>1330</v>
      </c>
      <c r="F212" s="13" t="s">
        <v>56</v>
      </c>
      <c r="G212" s="13" t="s">
        <v>0</v>
      </c>
    </row>
    <row r="213" spans="4:7" ht="14.25" hidden="1" customHeight="1" outlineLevel="1" x14ac:dyDescent="0.25">
      <c r="D213" t="s">
        <v>80</v>
      </c>
      <c r="E213">
        <v>1330</v>
      </c>
      <c r="F213" s="2">
        <v>0</v>
      </c>
      <c r="G213" s="17">
        <v>0</v>
      </c>
    </row>
    <row r="214" spans="4:7" hidden="1" outlineLevel="1" x14ac:dyDescent="0.25">
      <c r="D214" t="s">
        <v>80</v>
      </c>
      <c r="E214">
        <v>1330</v>
      </c>
      <c r="F214" s="2">
        <v>1</v>
      </c>
      <c r="G214" s="17">
        <v>0.4</v>
      </c>
    </row>
    <row r="215" spans="4:7" hidden="1" outlineLevel="1" x14ac:dyDescent="0.25">
      <c r="D215" t="s">
        <v>80</v>
      </c>
      <c r="E215">
        <v>1330</v>
      </c>
      <c r="F215" s="2">
        <v>2</v>
      </c>
      <c r="G215" s="17">
        <v>0.6</v>
      </c>
    </row>
    <row r="216" spans="4:7" hidden="1" outlineLevel="1" x14ac:dyDescent="0.25">
      <c r="D216" t="s">
        <v>80</v>
      </c>
      <c r="E216">
        <v>1330</v>
      </c>
      <c r="F216" s="2">
        <v>3</v>
      </c>
      <c r="G216" s="17">
        <v>1</v>
      </c>
    </row>
    <row r="217" spans="4:7" hidden="1" outlineLevel="1" x14ac:dyDescent="0.25">
      <c r="D217" t="s">
        <v>80</v>
      </c>
      <c r="E217">
        <v>1330</v>
      </c>
      <c r="F217" s="2">
        <v>4</v>
      </c>
      <c r="G217" s="17">
        <v>1</v>
      </c>
    </row>
    <row r="218" spans="4:7" hidden="1" outlineLevel="1" x14ac:dyDescent="0.25">
      <c r="D218" t="s">
        <v>80</v>
      </c>
      <c r="E218">
        <v>1330</v>
      </c>
      <c r="F218" s="2">
        <v>5</v>
      </c>
      <c r="G218" s="17">
        <v>1</v>
      </c>
    </row>
    <row r="219" spans="4:7" hidden="1" outlineLevel="1" x14ac:dyDescent="0.25">
      <c r="D219" t="s">
        <v>80</v>
      </c>
      <c r="E219">
        <v>1330</v>
      </c>
      <c r="F219" s="2">
        <v>6</v>
      </c>
      <c r="G219" s="17">
        <v>1</v>
      </c>
    </row>
    <row r="220" spans="4:7" hidden="1" outlineLevel="1" x14ac:dyDescent="0.25">
      <c r="D220" t="s">
        <v>80</v>
      </c>
      <c r="E220">
        <v>1330</v>
      </c>
      <c r="F220" s="2">
        <v>7</v>
      </c>
      <c r="G220" s="17">
        <v>1</v>
      </c>
    </row>
    <row r="221" spans="4:7" hidden="1" outlineLevel="1" x14ac:dyDescent="0.25">
      <c r="D221" t="s">
        <v>80</v>
      </c>
      <c r="E221">
        <v>1330</v>
      </c>
      <c r="F221" s="2">
        <v>8</v>
      </c>
      <c r="G221" s="17">
        <v>1</v>
      </c>
    </row>
    <row r="222" spans="4:7" hidden="1" outlineLevel="1" x14ac:dyDescent="0.25">
      <c r="D222" t="s">
        <v>80</v>
      </c>
      <c r="E222">
        <v>1330</v>
      </c>
      <c r="F222" s="2">
        <v>9</v>
      </c>
      <c r="G222" s="17">
        <v>1</v>
      </c>
    </row>
    <row r="223" spans="4:7" hidden="1" outlineLevel="1" x14ac:dyDescent="0.25">
      <c r="D223" t="s">
        <v>80</v>
      </c>
      <c r="E223">
        <v>1330</v>
      </c>
      <c r="F223" s="2">
        <v>10</v>
      </c>
      <c r="G223" s="17">
        <v>1</v>
      </c>
    </row>
    <row r="224" spans="4:7" hidden="1" outlineLevel="1" x14ac:dyDescent="0.25">
      <c r="D224" t="s">
        <v>80</v>
      </c>
      <c r="E224">
        <v>1330</v>
      </c>
      <c r="F224" s="2">
        <v>11</v>
      </c>
      <c r="G224" s="17">
        <v>1</v>
      </c>
    </row>
    <row r="225" spans="4:7" hidden="1" outlineLevel="1" x14ac:dyDescent="0.25">
      <c r="D225" t="s">
        <v>80</v>
      </c>
      <c r="E225">
        <v>1330</v>
      </c>
      <c r="F225" s="2">
        <v>12</v>
      </c>
      <c r="G225" s="17">
        <v>1</v>
      </c>
    </row>
    <row r="226" spans="4:7" hidden="1" outlineLevel="1" x14ac:dyDescent="0.25">
      <c r="D226" t="s">
        <v>80</v>
      </c>
      <c r="E226">
        <v>1330</v>
      </c>
      <c r="F226" s="2">
        <v>13</v>
      </c>
      <c r="G226" s="17">
        <v>1</v>
      </c>
    </row>
    <row r="227" spans="4:7" hidden="1" outlineLevel="1" x14ac:dyDescent="0.25">
      <c r="D227" t="s">
        <v>80</v>
      </c>
      <c r="E227">
        <v>1330</v>
      </c>
      <c r="F227" s="2">
        <v>14</v>
      </c>
      <c r="G227" s="17">
        <v>1</v>
      </c>
    </row>
    <row r="228" spans="4:7" collapsed="1" x14ac:dyDescent="0.25"/>
    <row r="229" spans="4:7" x14ac:dyDescent="0.25">
      <c r="D229" s="13" t="s">
        <v>81</v>
      </c>
      <c r="E229" s="13">
        <v>1340</v>
      </c>
      <c r="F229" s="13" t="s">
        <v>55</v>
      </c>
      <c r="G229" s="13" t="s">
        <v>0</v>
      </c>
    </row>
    <row r="230" spans="4:7" outlineLevel="1" x14ac:dyDescent="0.25">
      <c r="D230" s="16" t="s">
        <v>81</v>
      </c>
      <c r="E230" s="16">
        <v>1340</v>
      </c>
      <c r="F230">
        <v>0</v>
      </c>
      <c r="G230">
        <v>0</v>
      </c>
    </row>
    <row r="231" spans="4:7" outlineLevel="1" x14ac:dyDescent="0.25">
      <c r="D231" s="16" t="s">
        <v>81</v>
      </c>
      <c r="E231" s="16">
        <v>1340</v>
      </c>
      <c r="F231">
        <v>0.2</v>
      </c>
      <c r="G231">
        <v>0</v>
      </c>
    </row>
    <row r="232" spans="4:7" outlineLevel="1" x14ac:dyDescent="0.25">
      <c r="D232" s="16" t="s">
        <v>81</v>
      </c>
      <c r="E232" s="16">
        <v>1340</v>
      </c>
      <c r="F232">
        <v>0.4</v>
      </c>
      <c r="G232">
        <v>0</v>
      </c>
    </row>
    <row r="233" spans="4:7" outlineLevel="1" x14ac:dyDescent="0.25">
      <c r="D233" s="16" t="s">
        <v>81</v>
      </c>
      <c r="E233" s="16">
        <v>1340</v>
      </c>
      <c r="F233">
        <v>0.60000000000000009</v>
      </c>
      <c r="G233">
        <v>1</v>
      </c>
    </row>
    <row r="234" spans="4:7" outlineLevel="1" x14ac:dyDescent="0.25">
      <c r="D234" s="16" t="s">
        <v>81</v>
      </c>
      <c r="E234" s="16">
        <v>1340</v>
      </c>
      <c r="F234">
        <v>0.8</v>
      </c>
      <c r="G234">
        <v>1</v>
      </c>
    </row>
    <row r="235" spans="4:7" outlineLevel="1" x14ac:dyDescent="0.25">
      <c r="D235" s="16" t="s">
        <v>81</v>
      </c>
      <c r="E235" s="16">
        <v>1340</v>
      </c>
      <c r="F235">
        <v>1</v>
      </c>
      <c r="G235">
        <v>1</v>
      </c>
    </row>
    <row r="236" spans="4:7" outlineLevel="1" x14ac:dyDescent="0.25">
      <c r="D236" s="16" t="s">
        <v>81</v>
      </c>
      <c r="E236" s="16">
        <v>1340</v>
      </c>
      <c r="F236">
        <v>1.2</v>
      </c>
      <c r="G236">
        <v>1</v>
      </c>
    </row>
    <row r="237" spans="4:7" outlineLevel="1" x14ac:dyDescent="0.25">
      <c r="D237" s="16" t="s">
        <v>81</v>
      </c>
      <c r="E237" s="16">
        <v>1340</v>
      </c>
      <c r="F237">
        <v>1.4</v>
      </c>
      <c r="G237">
        <v>1</v>
      </c>
    </row>
    <row r="238" spans="4:7" outlineLevel="1" x14ac:dyDescent="0.25">
      <c r="D238" s="16" t="s">
        <v>81</v>
      </c>
      <c r="E238" s="16">
        <v>1340</v>
      </c>
      <c r="F238">
        <v>1.5999999999999999</v>
      </c>
      <c r="G238">
        <v>1</v>
      </c>
    </row>
    <row r="239" spans="4:7" outlineLevel="1" x14ac:dyDescent="0.25">
      <c r="D239" s="16" t="s">
        <v>81</v>
      </c>
      <c r="E239" s="16">
        <v>1340</v>
      </c>
      <c r="F239">
        <v>1.7999999999999998</v>
      </c>
      <c r="G239">
        <v>1</v>
      </c>
    </row>
    <row r="240" spans="4:7" outlineLevel="1" x14ac:dyDescent="0.25">
      <c r="D240" s="16" t="s">
        <v>81</v>
      </c>
      <c r="E240" s="16">
        <v>1340</v>
      </c>
      <c r="F240">
        <v>1.9999999999999998</v>
      </c>
      <c r="G240">
        <v>1</v>
      </c>
    </row>
    <row r="241" spans="4:9" outlineLevel="1" x14ac:dyDescent="0.25">
      <c r="D241" s="16" t="s">
        <v>81</v>
      </c>
      <c r="E241" s="16">
        <v>1340</v>
      </c>
      <c r="F241">
        <v>2.1999999999999997</v>
      </c>
      <c r="G241">
        <v>1</v>
      </c>
    </row>
    <row r="242" spans="4:9" outlineLevel="1" x14ac:dyDescent="0.25">
      <c r="D242" s="16" t="s">
        <v>81</v>
      </c>
      <c r="E242" s="16">
        <v>1340</v>
      </c>
      <c r="F242">
        <v>2.4</v>
      </c>
      <c r="G242">
        <v>1</v>
      </c>
    </row>
    <row r="243" spans="4:9" outlineLevel="1" x14ac:dyDescent="0.25">
      <c r="D243" s="16" t="s">
        <v>81</v>
      </c>
      <c r="E243" s="16">
        <v>1340</v>
      </c>
      <c r="F243">
        <v>2.6</v>
      </c>
      <c r="G243">
        <v>1</v>
      </c>
    </row>
    <row r="244" spans="4:9" outlineLevel="1" x14ac:dyDescent="0.25">
      <c r="D244" s="16" t="s">
        <v>81</v>
      </c>
      <c r="E244" s="16">
        <v>1340</v>
      </c>
      <c r="F244">
        <v>2.8000000000000003</v>
      </c>
      <c r="G244">
        <v>1</v>
      </c>
    </row>
    <row r="245" spans="4:9" outlineLevel="1" x14ac:dyDescent="0.25">
      <c r="D245" s="16" t="s">
        <v>81</v>
      </c>
      <c r="E245" s="16">
        <v>1340</v>
      </c>
      <c r="F245">
        <v>3.0000000000000004</v>
      </c>
      <c r="G245">
        <v>1</v>
      </c>
    </row>
    <row r="246" spans="4:9" outlineLevel="1" x14ac:dyDescent="0.25">
      <c r="D246" s="16" t="s">
        <v>81</v>
      </c>
      <c r="E246" s="16">
        <v>1340</v>
      </c>
      <c r="F246">
        <v>3.2000000000000006</v>
      </c>
      <c r="G246">
        <v>1</v>
      </c>
    </row>
    <row r="247" spans="4:9" outlineLevel="1" x14ac:dyDescent="0.25">
      <c r="D247" s="16" t="s">
        <v>81</v>
      </c>
      <c r="E247" s="16">
        <v>1340</v>
      </c>
      <c r="F247">
        <v>3.4000000000000008</v>
      </c>
      <c r="G247">
        <v>1</v>
      </c>
    </row>
    <row r="248" spans="4:9" outlineLevel="1" x14ac:dyDescent="0.25">
      <c r="D248" s="16" t="s">
        <v>81</v>
      </c>
      <c r="E248" s="16">
        <v>1340</v>
      </c>
      <c r="F248">
        <v>3.600000000000001</v>
      </c>
      <c r="G248">
        <v>1</v>
      </c>
    </row>
    <row r="249" spans="4:9" outlineLevel="1" x14ac:dyDescent="0.25">
      <c r="D249" s="16" t="s">
        <v>81</v>
      </c>
      <c r="E249" s="16">
        <v>1340</v>
      </c>
      <c r="F249">
        <v>3.8000000000000012</v>
      </c>
      <c r="G249">
        <v>1</v>
      </c>
    </row>
    <row r="250" spans="4:9" outlineLevel="1" x14ac:dyDescent="0.25">
      <c r="D250" s="16" t="s">
        <v>81</v>
      </c>
      <c r="E250" s="16">
        <v>1340</v>
      </c>
      <c r="F250">
        <v>4.0000000000000009</v>
      </c>
      <c r="G250">
        <v>1</v>
      </c>
    </row>
    <row r="252" spans="4:9" x14ac:dyDescent="0.25">
      <c r="D252" s="13" t="s">
        <v>82</v>
      </c>
      <c r="E252" s="13">
        <v>1390</v>
      </c>
      <c r="F252" s="13" t="s">
        <v>56</v>
      </c>
      <c r="G252" s="13" t="s">
        <v>0</v>
      </c>
      <c r="I252" s="4" t="s">
        <v>71</v>
      </c>
    </row>
    <row r="253" spans="4:9" outlineLevel="1" x14ac:dyDescent="0.25">
      <c r="D253" s="16" t="s">
        <v>82</v>
      </c>
      <c r="E253" s="16">
        <v>1390</v>
      </c>
      <c r="F253" s="2">
        <v>0</v>
      </c>
      <c r="G253" s="17">
        <f xml:space="preserve"> G196</f>
        <v>0</v>
      </c>
    </row>
    <row r="254" spans="4:9" outlineLevel="1" x14ac:dyDescent="0.25">
      <c r="D254" s="16" t="s">
        <v>82</v>
      </c>
      <c r="E254" s="16">
        <v>1390</v>
      </c>
      <c r="F254" s="2">
        <v>0</v>
      </c>
      <c r="G254" s="17">
        <f t="shared" ref="G254:G267" si="5" xml:space="preserve"> G197</f>
        <v>7.1428571428571425E-2</v>
      </c>
    </row>
    <row r="255" spans="4:9" outlineLevel="1" x14ac:dyDescent="0.25">
      <c r="D255" s="16" t="s">
        <v>82</v>
      </c>
      <c r="E255" s="16">
        <v>1390</v>
      </c>
      <c r="F255" s="2">
        <v>0</v>
      </c>
      <c r="G255" s="17">
        <f t="shared" si="5"/>
        <v>0.14285714285714285</v>
      </c>
    </row>
    <row r="256" spans="4:9" outlineLevel="1" x14ac:dyDescent="0.25">
      <c r="D256" s="16" t="s">
        <v>82</v>
      </c>
      <c r="E256" s="16">
        <v>1390</v>
      </c>
      <c r="F256" s="2">
        <v>0</v>
      </c>
      <c r="G256" s="17">
        <f t="shared" si="5"/>
        <v>0.21428571428571427</v>
      </c>
    </row>
    <row r="257" spans="4:9" outlineLevel="1" x14ac:dyDescent="0.25">
      <c r="D257" s="16" t="s">
        <v>82</v>
      </c>
      <c r="E257" s="16">
        <v>1390</v>
      </c>
      <c r="F257" s="2">
        <v>0</v>
      </c>
      <c r="G257" s="17">
        <f t="shared" si="5"/>
        <v>0.2857142857142857</v>
      </c>
    </row>
    <row r="258" spans="4:9" outlineLevel="1" x14ac:dyDescent="0.25">
      <c r="D258" s="16" t="s">
        <v>82</v>
      </c>
      <c r="E258" s="16">
        <v>1390</v>
      </c>
      <c r="F258" s="2">
        <v>0</v>
      </c>
      <c r="G258" s="17">
        <f t="shared" si="5"/>
        <v>0.3571428571428571</v>
      </c>
    </row>
    <row r="259" spans="4:9" outlineLevel="1" x14ac:dyDescent="0.25">
      <c r="D259" s="16" t="s">
        <v>82</v>
      </c>
      <c r="E259" s="16">
        <v>1390</v>
      </c>
      <c r="F259" s="2">
        <v>0</v>
      </c>
      <c r="G259" s="17">
        <f t="shared" si="5"/>
        <v>0.42857142857142849</v>
      </c>
    </row>
    <row r="260" spans="4:9" outlineLevel="1" x14ac:dyDescent="0.25">
      <c r="D260" s="16" t="s">
        <v>82</v>
      </c>
      <c r="E260" s="16">
        <v>1390</v>
      </c>
      <c r="F260" s="2">
        <v>0</v>
      </c>
      <c r="G260" s="17">
        <f t="shared" si="5"/>
        <v>0.5</v>
      </c>
    </row>
    <row r="261" spans="4:9" outlineLevel="1" x14ac:dyDescent="0.25">
      <c r="D261" s="16" t="s">
        <v>82</v>
      </c>
      <c r="E261" s="16">
        <v>1390</v>
      </c>
      <c r="F261" s="2">
        <v>0</v>
      </c>
      <c r="G261" s="17">
        <f t="shared" si="5"/>
        <v>0.5714285714285714</v>
      </c>
    </row>
    <row r="262" spans="4:9" outlineLevel="1" x14ac:dyDescent="0.25">
      <c r="D262" s="16" t="s">
        <v>82</v>
      </c>
      <c r="E262" s="16">
        <v>1390</v>
      </c>
      <c r="F262" s="2">
        <v>0</v>
      </c>
      <c r="G262" s="17">
        <f t="shared" si="5"/>
        <v>0.64285714285714279</v>
      </c>
    </row>
    <row r="263" spans="4:9" outlineLevel="1" x14ac:dyDescent="0.25">
      <c r="D263" s="16" t="s">
        <v>82</v>
      </c>
      <c r="E263" s="16">
        <v>1390</v>
      </c>
      <c r="F263" s="2">
        <v>0</v>
      </c>
      <c r="G263" s="17">
        <f t="shared" si="5"/>
        <v>0.71428571428571419</v>
      </c>
    </row>
    <row r="264" spans="4:9" outlineLevel="1" x14ac:dyDescent="0.25">
      <c r="D264" s="16" t="s">
        <v>82</v>
      </c>
      <c r="E264" s="16">
        <v>1390</v>
      </c>
      <c r="F264" s="2">
        <v>0</v>
      </c>
      <c r="G264" s="17">
        <f t="shared" si="5"/>
        <v>0.78571428571428559</v>
      </c>
    </row>
    <row r="265" spans="4:9" outlineLevel="1" x14ac:dyDescent="0.25">
      <c r="D265" s="16" t="s">
        <v>82</v>
      </c>
      <c r="E265" s="16">
        <v>1390</v>
      </c>
      <c r="F265" s="2">
        <v>0</v>
      </c>
      <c r="G265" s="17">
        <f t="shared" si="5"/>
        <v>0.85714285714285698</v>
      </c>
    </row>
    <row r="266" spans="4:9" outlineLevel="1" x14ac:dyDescent="0.25">
      <c r="D266" s="16" t="s">
        <v>82</v>
      </c>
      <c r="E266" s="16">
        <v>1390</v>
      </c>
      <c r="F266" s="2">
        <v>0</v>
      </c>
      <c r="G266" s="17">
        <f t="shared" si="5"/>
        <v>0.92857142857142838</v>
      </c>
    </row>
    <row r="267" spans="4:9" outlineLevel="1" x14ac:dyDescent="0.25">
      <c r="D267" s="16" t="s">
        <v>82</v>
      </c>
      <c r="E267" s="16">
        <v>1390</v>
      </c>
      <c r="F267" s="2">
        <v>0</v>
      </c>
      <c r="G267" s="17">
        <f t="shared" si="5"/>
        <v>1</v>
      </c>
    </row>
    <row r="268" spans="4:9" x14ac:dyDescent="0.25">
      <c r="D268" s="16"/>
      <c r="E268" s="16"/>
    </row>
    <row r="269" spans="4:9" x14ac:dyDescent="0.25">
      <c r="D269" s="13" t="s">
        <v>123</v>
      </c>
      <c r="E269" s="13">
        <v>1395</v>
      </c>
      <c r="F269" s="13" t="s">
        <v>55</v>
      </c>
      <c r="G269" s="13" t="s">
        <v>0</v>
      </c>
      <c r="I269" s="20" t="s">
        <v>124</v>
      </c>
    </row>
    <row r="270" spans="4:9" outlineLevel="1" x14ac:dyDescent="0.25">
      <c r="D270" s="16" t="s">
        <v>82</v>
      </c>
      <c r="E270" s="16">
        <v>1395</v>
      </c>
      <c r="F270">
        <v>0</v>
      </c>
      <c r="G270" s="17">
        <f xml:space="preserve"> G213</f>
        <v>0</v>
      </c>
    </row>
    <row r="271" spans="4:9" outlineLevel="1" x14ac:dyDescent="0.25">
      <c r="D271" s="16" t="s">
        <v>82</v>
      </c>
      <c r="E271" s="16">
        <v>1395</v>
      </c>
      <c r="F271">
        <v>0.2</v>
      </c>
      <c r="G271" s="17">
        <v>0</v>
      </c>
    </row>
    <row r="272" spans="4:9" outlineLevel="1" x14ac:dyDescent="0.25">
      <c r="D272" s="16" t="s">
        <v>82</v>
      </c>
      <c r="E272" s="16">
        <v>1395</v>
      </c>
      <c r="F272">
        <v>0.4</v>
      </c>
      <c r="G272" s="17">
        <v>0</v>
      </c>
    </row>
    <row r="273" spans="4:7" outlineLevel="1" x14ac:dyDescent="0.25">
      <c r="D273" s="16" t="s">
        <v>82</v>
      </c>
      <c r="E273" s="16">
        <v>1395</v>
      </c>
      <c r="F273">
        <v>0.60000000000000009</v>
      </c>
      <c r="G273" s="17">
        <v>0.5</v>
      </c>
    </row>
    <row r="274" spans="4:7" outlineLevel="1" x14ac:dyDescent="0.25">
      <c r="D274" s="16" t="s">
        <v>82</v>
      </c>
      <c r="E274" s="16">
        <v>1395</v>
      </c>
      <c r="F274">
        <v>0.8</v>
      </c>
      <c r="G274" s="17">
        <v>0.75</v>
      </c>
    </row>
    <row r="275" spans="4:7" outlineLevel="1" x14ac:dyDescent="0.25">
      <c r="D275" s="16" t="s">
        <v>82</v>
      </c>
      <c r="E275" s="16">
        <v>1395</v>
      </c>
      <c r="F275">
        <v>1</v>
      </c>
      <c r="G275" s="17">
        <v>0.9</v>
      </c>
    </row>
    <row r="276" spans="4:7" outlineLevel="1" x14ac:dyDescent="0.25">
      <c r="D276" s="16" t="s">
        <v>82</v>
      </c>
      <c r="E276" s="16">
        <v>1395</v>
      </c>
      <c r="F276">
        <v>1.2</v>
      </c>
      <c r="G276" s="17">
        <v>0.9</v>
      </c>
    </row>
    <row r="277" spans="4:7" outlineLevel="1" x14ac:dyDescent="0.25">
      <c r="D277" s="16" t="s">
        <v>82</v>
      </c>
      <c r="E277" s="16">
        <v>1395</v>
      </c>
      <c r="F277">
        <v>1.4</v>
      </c>
      <c r="G277" s="17">
        <v>0.9</v>
      </c>
    </row>
    <row r="278" spans="4:7" outlineLevel="1" x14ac:dyDescent="0.25">
      <c r="D278" s="16" t="s">
        <v>82</v>
      </c>
      <c r="E278" s="16">
        <v>1395</v>
      </c>
      <c r="F278">
        <v>1.5999999999999999</v>
      </c>
      <c r="G278" s="17">
        <v>0.9</v>
      </c>
    </row>
    <row r="279" spans="4:7" outlineLevel="1" x14ac:dyDescent="0.25">
      <c r="D279" s="16" t="s">
        <v>82</v>
      </c>
      <c r="E279" s="16">
        <v>1395</v>
      </c>
      <c r="F279">
        <v>1.7999999999999998</v>
      </c>
      <c r="G279" s="17">
        <v>0.9</v>
      </c>
    </row>
    <row r="280" spans="4:7" outlineLevel="1" x14ac:dyDescent="0.25">
      <c r="D280" s="16" t="s">
        <v>82</v>
      </c>
      <c r="E280" s="16">
        <v>1395</v>
      </c>
      <c r="F280" s="22">
        <v>1.9999999999999998</v>
      </c>
      <c r="G280" s="17">
        <v>0.9</v>
      </c>
    </row>
    <row r="281" spans="4:7" outlineLevel="1" x14ac:dyDescent="0.25">
      <c r="D281" s="16" t="s">
        <v>82</v>
      </c>
      <c r="E281" s="16">
        <v>1395</v>
      </c>
      <c r="F281" s="22">
        <v>2.2000000000000002</v>
      </c>
      <c r="G281" s="17">
        <v>0.9</v>
      </c>
    </row>
    <row r="282" spans="4:7" outlineLevel="1" x14ac:dyDescent="0.25">
      <c r="D282" s="16" t="s">
        <v>82</v>
      </c>
      <c r="E282" s="16">
        <v>1395</v>
      </c>
      <c r="F282" s="22">
        <v>2.4</v>
      </c>
      <c r="G282" s="17">
        <v>0.9</v>
      </c>
    </row>
    <row r="283" spans="4:7" outlineLevel="1" x14ac:dyDescent="0.25">
      <c r="D283" s="16" t="s">
        <v>82</v>
      </c>
      <c r="E283" s="16">
        <v>1395</v>
      </c>
      <c r="F283" s="22">
        <v>2.6</v>
      </c>
      <c r="G283" s="17">
        <v>0.9</v>
      </c>
    </row>
    <row r="284" spans="4:7" outlineLevel="1" x14ac:dyDescent="0.25">
      <c r="D284" s="16" t="s">
        <v>82</v>
      </c>
      <c r="E284" s="16">
        <v>1395</v>
      </c>
      <c r="F284" s="22">
        <v>2.8</v>
      </c>
      <c r="G284" s="17">
        <v>0.9</v>
      </c>
    </row>
    <row r="285" spans="4:7" x14ac:dyDescent="0.25">
      <c r="D285" s="16"/>
      <c r="E285" s="16"/>
    </row>
    <row r="286" spans="4:7" x14ac:dyDescent="0.25">
      <c r="D286" s="13" t="s">
        <v>83</v>
      </c>
      <c r="E286" s="13">
        <v>1410</v>
      </c>
      <c r="F286" s="13" t="s">
        <v>55</v>
      </c>
      <c r="G286" s="13" t="s">
        <v>48</v>
      </c>
    </row>
    <row r="287" spans="4:7" ht="14.25" hidden="1" customHeight="1" outlineLevel="1" x14ac:dyDescent="0.25">
      <c r="D287" t="s">
        <v>83</v>
      </c>
      <c r="E287">
        <v>1410</v>
      </c>
      <c r="F287" s="17">
        <v>0</v>
      </c>
      <c r="G287" s="17">
        <v>0</v>
      </c>
    </row>
    <row r="288" spans="4:7" hidden="1" outlineLevel="1" x14ac:dyDescent="0.25">
      <c r="D288" t="s">
        <v>83</v>
      </c>
      <c r="E288">
        <v>1410</v>
      </c>
      <c r="F288" s="17">
        <v>0.2</v>
      </c>
      <c r="G288" s="17">
        <v>2.1360161083226335E-2</v>
      </c>
    </row>
    <row r="289" spans="4:7" hidden="1" outlineLevel="1" x14ac:dyDescent="0.25">
      <c r="D289" t="s">
        <v>83</v>
      </c>
      <c r="E289">
        <v>1410</v>
      </c>
      <c r="F289" s="17">
        <v>0.4</v>
      </c>
      <c r="G289" s="17">
        <v>4.2720322166452669E-2</v>
      </c>
    </row>
    <row r="290" spans="4:7" hidden="1" outlineLevel="1" x14ac:dyDescent="0.25">
      <c r="D290" t="s">
        <v>83</v>
      </c>
      <c r="E290">
        <v>1410</v>
      </c>
      <c r="F290" s="17">
        <v>0.60000000000000009</v>
      </c>
      <c r="G290" s="17">
        <v>6.4080483249678993E-2</v>
      </c>
    </row>
    <row r="291" spans="4:7" hidden="1" outlineLevel="1" x14ac:dyDescent="0.25">
      <c r="D291" t="s">
        <v>83</v>
      </c>
      <c r="E291">
        <v>1410</v>
      </c>
      <c r="F291" s="17">
        <v>0.8</v>
      </c>
      <c r="G291" s="17">
        <v>8.5440644332905338E-2</v>
      </c>
    </row>
    <row r="292" spans="4:7" hidden="1" outlineLevel="1" x14ac:dyDescent="0.25">
      <c r="D292" t="s">
        <v>83</v>
      </c>
      <c r="E292">
        <v>1410</v>
      </c>
      <c r="F292" s="17">
        <v>1</v>
      </c>
      <c r="G292" s="17">
        <v>0.10680080541613167</v>
      </c>
    </row>
    <row r="293" spans="4:7" hidden="1" outlineLevel="1" x14ac:dyDescent="0.25">
      <c r="D293" t="s">
        <v>83</v>
      </c>
      <c r="E293">
        <v>1410</v>
      </c>
      <c r="F293" s="17">
        <v>1.2</v>
      </c>
      <c r="G293" s="17">
        <v>0.12816096649935801</v>
      </c>
    </row>
    <row r="294" spans="4:7" hidden="1" outlineLevel="1" x14ac:dyDescent="0.25">
      <c r="D294" t="s">
        <v>83</v>
      </c>
      <c r="E294">
        <v>1410</v>
      </c>
      <c r="F294" s="17">
        <v>1.4</v>
      </c>
      <c r="G294" s="17">
        <v>0.17671384381930666</v>
      </c>
    </row>
    <row r="295" spans="4:7" hidden="1" outlineLevel="1" x14ac:dyDescent="0.25">
      <c r="D295" t="s">
        <v>83</v>
      </c>
      <c r="E295">
        <v>1410</v>
      </c>
      <c r="F295" s="17">
        <v>1.5999999999999999</v>
      </c>
      <c r="G295" s="17">
        <v>0.19807400490253299</v>
      </c>
    </row>
    <row r="296" spans="4:7" hidden="1" outlineLevel="1" x14ac:dyDescent="0.25">
      <c r="D296" t="s">
        <v>83</v>
      </c>
      <c r="E296">
        <v>1410</v>
      </c>
      <c r="F296" s="17">
        <v>1.7999999999999998</v>
      </c>
      <c r="G296" s="17">
        <v>0.21943416598575932</v>
      </c>
    </row>
    <row r="297" spans="4:7" hidden="1" outlineLevel="1" x14ac:dyDescent="0.25">
      <c r="D297" t="s">
        <v>83</v>
      </c>
      <c r="E297">
        <v>1410</v>
      </c>
      <c r="F297" s="17">
        <v>1.9999999999999998</v>
      </c>
      <c r="G297" s="17">
        <v>0.24079432706898565</v>
      </c>
    </row>
    <row r="298" spans="4:7" hidden="1" outlineLevel="1" x14ac:dyDescent="0.25">
      <c r="D298" t="s">
        <v>83</v>
      </c>
      <c r="E298">
        <v>1410</v>
      </c>
      <c r="F298" s="17">
        <v>2.1999999999999997</v>
      </c>
      <c r="G298" s="17">
        <v>0.26215448815221198</v>
      </c>
    </row>
    <row r="299" spans="4:7" hidden="1" outlineLevel="1" x14ac:dyDescent="0.25">
      <c r="D299" t="s">
        <v>83</v>
      </c>
      <c r="E299">
        <v>1410</v>
      </c>
      <c r="F299" s="17">
        <v>2.4</v>
      </c>
      <c r="G299" s="17">
        <v>0.28351464923543834</v>
      </c>
    </row>
    <row r="300" spans="4:7" hidden="1" outlineLevel="1" x14ac:dyDescent="0.25">
      <c r="D300" t="s">
        <v>83</v>
      </c>
      <c r="E300">
        <v>1410</v>
      </c>
      <c r="F300" s="17">
        <v>2.6</v>
      </c>
      <c r="G300" s="17">
        <v>0.32285660091047041</v>
      </c>
    </row>
    <row r="301" spans="4:7" hidden="1" outlineLevel="1" x14ac:dyDescent="0.25">
      <c r="D301" t="s">
        <v>83</v>
      </c>
      <c r="E301">
        <v>1410</v>
      </c>
      <c r="F301" s="17">
        <v>2.8000000000000003</v>
      </c>
      <c r="G301" s="17">
        <v>0.32285660091047041</v>
      </c>
    </row>
    <row r="302" spans="4:7" hidden="1" outlineLevel="1" x14ac:dyDescent="0.25">
      <c r="D302" t="s">
        <v>83</v>
      </c>
      <c r="E302">
        <v>1410</v>
      </c>
      <c r="F302" s="17">
        <v>3.0000000000000004</v>
      </c>
      <c r="G302" s="17">
        <v>0.32285660091047041</v>
      </c>
    </row>
    <row r="303" spans="4:7" hidden="1" outlineLevel="1" x14ac:dyDescent="0.25">
      <c r="D303" t="s">
        <v>83</v>
      </c>
      <c r="E303">
        <v>1410</v>
      </c>
      <c r="F303" s="17">
        <v>3.2000000000000006</v>
      </c>
      <c r="G303" s="17">
        <v>0.32285660091047041</v>
      </c>
    </row>
    <row r="304" spans="4:7" hidden="1" outlineLevel="1" x14ac:dyDescent="0.25">
      <c r="D304" t="s">
        <v>83</v>
      </c>
      <c r="E304">
        <v>1410</v>
      </c>
      <c r="F304" s="17">
        <v>3.4000000000000008</v>
      </c>
      <c r="G304" s="17">
        <v>0.32285660091047041</v>
      </c>
    </row>
    <row r="305" spans="4:7" hidden="1" outlineLevel="1" x14ac:dyDescent="0.25">
      <c r="D305" t="s">
        <v>83</v>
      </c>
      <c r="E305">
        <v>1410</v>
      </c>
      <c r="F305" s="17">
        <v>3.600000000000001</v>
      </c>
      <c r="G305" s="17">
        <v>0.32285660091047041</v>
      </c>
    </row>
    <row r="306" spans="4:7" hidden="1" outlineLevel="1" x14ac:dyDescent="0.25">
      <c r="D306" t="s">
        <v>83</v>
      </c>
      <c r="E306">
        <v>1410</v>
      </c>
      <c r="F306" s="17">
        <v>3.8000000000000012</v>
      </c>
      <c r="G306" s="17">
        <v>0.32285660091047041</v>
      </c>
    </row>
    <row r="307" spans="4:7" hidden="1" outlineLevel="1" x14ac:dyDescent="0.25">
      <c r="D307" t="s">
        <v>83</v>
      </c>
      <c r="E307">
        <v>1410</v>
      </c>
      <c r="F307" s="17">
        <v>4.0000000000000009</v>
      </c>
      <c r="G307" s="17">
        <v>0.32285660091047041</v>
      </c>
    </row>
    <row r="308" spans="4:7" collapsed="1" x14ac:dyDescent="0.25"/>
    <row r="309" spans="4:7" x14ac:dyDescent="0.25">
      <c r="D309" s="13" t="s">
        <v>84</v>
      </c>
      <c r="E309" s="13">
        <v>1411</v>
      </c>
      <c r="F309" s="13" t="s">
        <v>55</v>
      </c>
      <c r="G309" s="13" t="s">
        <v>50</v>
      </c>
    </row>
    <row r="310" spans="4:7" ht="14.25" hidden="1" customHeight="1" outlineLevel="1" x14ac:dyDescent="0.25">
      <c r="D310" t="s">
        <v>84</v>
      </c>
      <c r="E310">
        <v>1411</v>
      </c>
      <c r="F310" s="17">
        <v>0</v>
      </c>
      <c r="G310" s="17">
        <v>0</v>
      </c>
    </row>
    <row r="311" spans="4:7" hidden="1" outlineLevel="1" x14ac:dyDescent="0.25">
      <c r="D311" t="s">
        <v>84</v>
      </c>
      <c r="E311">
        <v>1411</v>
      </c>
      <c r="F311" s="17">
        <v>0.2</v>
      </c>
      <c r="G311" s="17">
        <v>3.2403717766320832E-2</v>
      </c>
    </row>
    <row r="312" spans="4:7" hidden="1" outlineLevel="1" x14ac:dyDescent="0.25">
      <c r="D312" t="s">
        <v>84</v>
      </c>
      <c r="E312">
        <v>1411</v>
      </c>
      <c r="F312" s="17">
        <v>0.4</v>
      </c>
      <c r="G312" s="17">
        <v>6.4807435532641663E-2</v>
      </c>
    </row>
    <row r="313" spans="4:7" hidden="1" outlineLevel="1" x14ac:dyDescent="0.25">
      <c r="D313" t="s">
        <v>84</v>
      </c>
      <c r="E313">
        <v>1411</v>
      </c>
      <c r="F313" s="17">
        <v>0.60000000000000009</v>
      </c>
      <c r="G313" s="17">
        <v>8.9965987669418962E-2</v>
      </c>
    </row>
    <row r="314" spans="4:7" hidden="1" outlineLevel="1" x14ac:dyDescent="0.25">
      <c r="D314" t="s">
        <v>84</v>
      </c>
      <c r="E314">
        <v>1411</v>
      </c>
      <c r="F314" s="17">
        <v>0.8</v>
      </c>
      <c r="G314" s="17">
        <v>0.11753959501604412</v>
      </c>
    </row>
    <row r="315" spans="4:7" hidden="1" outlineLevel="1" x14ac:dyDescent="0.25">
      <c r="D315" t="s">
        <v>84</v>
      </c>
      <c r="E315">
        <v>1411</v>
      </c>
      <c r="F315" s="17">
        <v>1</v>
      </c>
      <c r="G315" s="17">
        <v>0.13827054593476706</v>
      </c>
    </row>
    <row r="316" spans="4:7" hidden="1" outlineLevel="1" x14ac:dyDescent="0.25">
      <c r="D316" t="s">
        <v>84</v>
      </c>
      <c r="E316">
        <v>1411</v>
      </c>
      <c r="F316" s="17">
        <v>1.2</v>
      </c>
      <c r="G316" s="17">
        <v>0.15900149685349002</v>
      </c>
    </row>
    <row r="317" spans="4:7" hidden="1" outlineLevel="1" x14ac:dyDescent="0.25">
      <c r="D317" t="s">
        <v>84</v>
      </c>
      <c r="E317">
        <v>1411</v>
      </c>
      <c r="F317" s="17">
        <v>1.4</v>
      </c>
      <c r="G317" s="17">
        <v>0.20561172578858708</v>
      </c>
    </row>
    <row r="318" spans="4:7" hidden="1" outlineLevel="1" x14ac:dyDescent="0.25">
      <c r="D318" t="s">
        <v>84</v>
      </c>
      <c r="E318">
        <v>1411</v>
      </c>
      <c r="F318" s="17">
        <v>1.5999999999999999</v>
      </c>
      <c r="G318" s="17">
        <v>0.22634267670731004</v>
      </c>
    </row>
    <row r="319" spans="4:7" hidden="1" outlineLevel="1" x14ac:dyDescent="0.25">
      <c r="D319" t="s">
        <v>84</v>
      </c>
      <c r="E319">
        <v>1411</v>
      </c>
      <c r="F319" s="17">
        <v>1.7999999999999998</v>
      </c>
      <c r="G319" s="17">
        <v>0.24707362762603302</v>
      </c>
    </row>
    <row r="320" spans="4:7" hidden="1" outlineLevel="1" x14ac:dyDescent="0.25">
      <c r="D320" t="s">
        <v>84</v>
      </c>
      <c r="E320">
        <v>1411</v>
      </c>
      <c r="F320" s="17">
        <v>1.9999999999999998</v>
      </c>
      <c r="G320" s="17">
        <v>0.26780457854475592</v>
      </c>
    </row>
    <row r="321" spans="4:7" hidden="1" outlineLevel="1" x14ac:dyDescent="0.25">
      <c r="D321" t="s">
        <v>84</v>
      </c>
      <c r="E321">
        <v>1411</v>
      </c>
      <c r="F321" s="17">
        <v>2.1999999999999997</v>
      </c>
      <c r="G321" s="17">
        <v>0.28853552946347888</v>
      </c>
    </row>
    <row r="322" spans="4:7" hidden="1" outlineLevel="1" x14ac:dyDescent="0.25">
      <c r="D322" t="s">
        <v>84</v>
      </c>
      <c r="E322">
        <v>1411</v>
      </c>
      <c r="F322" s="17">
        <v>2.4</v>
      </c>
      <c r="G322" s="17">
        <v>0.31812168281831055</v>
      </c>
    </row>
    <row r="323" spans="4:7" hidden="1" outlineLevel="1" x14ac:dyDescent="0.25">
      <c r="D323" t="s">
        <v>84</v>
      </c>
      <c r="E323">
        <v>1411</v>
      </c>
      <c r="F323" s="17">
        <v>2.6</v>
      </c>
      <c r="G323" s="17">
        <v>0.35556337478617528</v>
      </c>
    </row>
    <row r="324" spans="4:7" hidden="1" outlineLevel="1" x14ac:dyDescent="0.25">
      <c r="D324" t="s">
        <v>84</v>
      </c>
      <c r="E324">
        <v>1411</v>
      </c>
      <c r="F324" s="17">
        <v>2.8000000000000003</v>
      </c>
      <c r="G324" s="17">
        <v>0.35556337478617528</v>
      </c>
    </row>
    <row r="325" spans="4:7" hidden="1" outlineLevel="1" x14ac:dyDescent="0.25">
      <c r="D325" t="s">
        <v>84</v>
      </c>
      <c r="E325">
        <v>1411</v>
      </c>
      <c r="F325" s="17">
        <v>3.0000000000000004</v>
      </c>
      <c r="G325" s="17">
        <v>0.35556337478617528</v>
      </c>
    </row>
    <row r="326" spans="4:7" hidden="1" outlineLevel="1" x14ac:dyDescent="0.25">
      <c r="D326" t="s">
        <v>84</v>
      </c>
      <c r="E326">
        <v>1411</v>
      </c>
      <c r="F326" s="17">
        <v>3.2000000000000006</v>
      </c>
      <c r="G326" s="17">
        <v>0.35556337478617528</v>
      </c>
    </row>
    <row r="327" spans="4:7" hidden="1" outlineLevel="1" x14ac:dyDescent="0.25">
      <c r="D327" t="s">
        <v>84</v>
      </c>
      <c r="E327">
        <v>1411</v>
      </c>
      <c r="F327" s="17">
        <v>3.4000000000000008</v>
      </c>
      <c r="G327" s="17">
        <v>0.35556337478617528</v>
      </c>
    </row>
    <row r="328" spans="4:7" hidden="1" outlineLevel="1" x14ac:dyDescent="0.25">
      <c r="D328" t="s">
        <v>84</v>
      </c>
      <c r="E328">
        <v>1411</v>
      </c>
      <c r="F328" s="17">
        <v>3.600000000000001</v>
      </c>
      <c r="G328" s="17">
        <v>0.35556337478617528</v>
      </c>
    </row>
    <row r="329" spans="4:7" hidden="1" outlineLevel="1" x14ac:dyDescent="0.25">
      <c r="D329" t="s">
        <v>84</v>
      </c>
      <c r="E329">
        <v>1411</v>
      </c>
      <c r="F329" s="17">
        <v>3.8000000000000012</v>
      </c>
      <c r="G329" s="17">
        <v>0.35556337478617528</v>
      </c>
    </row>
    <row r="330" spans="4:7" hidden="1" outlineLevel="1" x14ac:dyDescent="0.25">
      <c r="D330" t="s">
        <v>84</v>
      </c>
      <c r="E330">
        <v>1411</v>
      </c>
      <c r="F330" s="17">
        <v>4.0000000000000009</v>
      </c>
      <c r="G330" s="17">
        <v>0.35556337478617528</v>
      </c>
    </row>
    <row r="331" spans="4:7" collapsed="1" x14ac:dyDescent="0.25"/>
    <row r="332" spans="4:7" x14ac:dyDescent="0.25">
      <c r="D332" s="13" t="s">
        <v>85</v>
      </c>
      <c r="E332" s="13">
        <v>1412</v>
      </c>
      <c r="F332" s="13" t="s">
        <v>55</v>
      </c>
      <c r="G332" s="13" t="s">
        <v>50</v>
      </c>
    </row>
    <row r="333" spans="4:7" ht="14.25" hidden="1" customHeight="1" outlineLevel="1" x14ac:dyDescent="0.25">
      <c r="D333" t="s">
        <v>85</v>
      </c>
      <c r="E333">
        <v>1412</v>
      </c>
      <c r="F333" s="17">
        <v>0</v>
      </c>
      <c r="G333" s="17">
        <v>0</v>
      </c>
    </row>
    <row r="334" spans="4:7" hidden="1" outlineLevel="1" x14ac:dyDescent="0.25">
      <c r="D334" t="s">
        <v>85</v>
      </c>
      <c r="E334">
        <v>1412</v>
      </c>
      <c r="F334" s="17">
        <v>0.2</v>
      </c>
      <c r="G334" s="17">
        <v>9.0442363739137804E-2</v>
      </c>
    </row>
    <row r="335" spans="4:7" hidden="1" outlineLevel="1" x14ac:dyDescent="0.25">
      <c r="D335" t="s">
        <v>85</v>
      </c>
      <c r="E335">
        <v>1412</v>
      </c>
      <c r="F335" s="17">
        <v>0.4</v>
      </c>
      <c r="G335" s="17">
        <v>0.15986408588971696</v>
      </c>
    </row>
    <row r="336" spans="4:7" hidden="1" outlineLevel="1" x14ac:dyDescent="0.25">
      <c r="D336" t="s">
        <v>85</v>
      </c>
      <c r="E336">
        <v>1412</v>
      </c>
      <c r="F336" s="17">
        <v>0.60000000000000009</v>
      </c>
      <c r="G336" s="17">
        <v>0.19775484565745816</v>
      </c>
    </row>
    <row r="337" spans="4:7" hidden="1" outlineLevel="1" x14ac:dyDescent="0.25">
      <c r="D337" t="s">
        <v>85</v>
      </c>
      <c r="E337">
        <v>1412</v>
      </c>
      <c r="F337" s="17">
        <v>0.8</v>
      </c>
      <c r="G337" s="17">
        <v>0.24615592621947865</v>
      </c>
    </row>
    <row r="338" spans="4:7" hidden="1" outlineLevel="1" x14ac:dyDescent="0.25">
      <c r="D338" t="s">
        <v>85</v>
      </c>
      <c r="E338">
        <v>1412</v>
      </c>
      <c r="F338" s="17">
        <v>1</v>
      </c>
      <c r="G338" s="17">
        <v>0.26477776453104113</v>
      </c>
    </row>
    <row r="339" spans="4:7" hidden="1" outlineLevel="1" x14ac:dyDescent="0.25">
      <c r="D339" t="s">
        <v>85</v>
      </c>
      <c r="E339">
        <v>1412</v>
      </c>
      <c r="F339" s="17">
        <v>1.2</v>
      </c>
      <c r="G339" s="17">
        <v>0.28339960284260357</v>
      </c>
    </row>
    <row r="340" spans="4:7" hidden="1" outlineLevel="1" x14ac:dyDescent="0.25">
      <c r="D340" t="s">
        <v>85</v>
      </c>
      <c r="E340">
        <v>1412</v>
      </c>
      <c r="F340" s="17">
        <v>1.4</v>
      </c>
      <c r="G340" s="17">
        <v>0.32349807397257307</v>
      </c>
    </row>
    <row r="341" spans="4:7" hidden="1" outlineLevel="1" x14ac:dyDescent="0.25">
      <c r="D341" t="s">
        <v>85</v>
      </c>
      <c r="E341">
        <v>1412</v>
      </c>
      <c r="F341" s="17">
        <v>1.5999999999999999</v>
      </c>
      <c r="G341" s="17">
        <v>0.34211991228413552</v>
      </c>
    </row>
    <row r="342" spans="4:7" hidden="1" outlineLevel="1" x14ac:dyDescent="0.25">
      <c r="D342" t="s">
        <v>85</v>
      </c>
      <c r="E342">
        <v>1412</v>
      </c>
      <c r="F342" s="17">
        <v>1.7999999999999998</v>
      </c>
      <c r="G342" s="17">
        <v>0.36074175059569796</v>
      </c>
    </row>
    <row r="343" spans="4:7" hidden="1" outlineLevel="1" x14ac:dyDescent="0.25">
      <c r="D343" t="s">
        <v>85</v>
      </c>
      <c r="E343">
        <v>1412</v>
      </c>
      <c r="F343" s="17">
        <v>1.9999999999999998</v>
      </c>
      <c r="G343" s="17">
        <v>0.3793635889072603</v>
      </c>
    </row>
    <row r="344" spans="4:7" hidden="1" outlineLevel="1" x14ac:dyDescent="0.25">
      <c r="D344" t="s">
        <v>85</v>
      </c>
      <c r="E344">
        <v>1412</v>
      </c>
      <c r="F344" s="17">
        <v>2.1999999999999997</v>
      </c>
      <c r="G344" s="17">
        <v>0.39798542721882285</v>
      </c>
    </row>
    <row r="345" spans="4:7" hidden="1" outlineLevel="1" x14ac:dyDescent="0.25">
      <c r="D345" t="s">
        <v>85</v>
      </c>
      <c r="E345">
        <v>1412</v>
      </c>
      <c r="F345" s="17">
        <v>2.4</v>
      </c>
      <c r="G345" s="17">
        <v>0.43412446685418404</v>
      </c>
    </row>
    <row r="346" spans="4:7" hidden="1" outlineLevel="1" x14ac:dyDescent="0.25">
      <c r="D346" t="s">
        <v>85</v>
      </c>
      <c r="E346">
        <v>1412</v>
      </c>
      <c r="F346" s="17">
        <v>2.6</v>
      </c>
      <c r="G346" s="17">
        <v>0.46519648787366369</v>
      </c>
    </row>
    <row r="347" spans="4:7" hidden="1" outlineLevel="1" x14ac:dyDescent="0.25">
      <c r="D347" t="s">
        <v>85</v>
      </c>
      <c r="E347">
        <v>1412</v>
      </c>
      <c r="F347" s="17">
        <v>2.8000000000000003</v>
      </c>
      <c r="G347" s="17">
        <v>0.46519648787366369</v>
      </c>
    </row>
    <row r="348" spans="4:7" hidden="1" outlineLevel="1" x14ac:dyDescent="0.25">
      <c r="D348" t="s">
        <v>85</v>
      </c>
      <c r="E348">
        <v>1412</v>
      </c>
      <c r="F348" s="17">
        <v>3.0000000000000004</v>
      </c>
      <c r="G348" s="17">
        <v>0.46519648787366369</v>
      </c>
    </row>
    <row r="349" spans="4:7" hidden="1" outlineLevel="1" x14ac:dyDescent="0.25">
      <c r="D349" t="s">
        <v>85</v>
      </c>
      <c r="E349">
        <v>1412</v>
      </c>
      <c r="F349" s="17">
        <v>3.2000000000000006</v>
      </c>
      <c r="G349" s="17">
        <v>0.46519648787366369</v>
      </c>
    </row>
    <row r="350" spans="4:7" hidden="1" outlineLevel="1" x14ac:dyDescent="0.25">
      <c r="D350" t="s">
        <v>85</v>
      </c>
      <c r="E350">
        <v>1412</v>
      </c>
      <c r="F350" s="17">
        <v>3.4000000000000008</v>
      </c>
      <c r="G350" s="17">
        <v>0.46519648787366369</v>
      </c>
    </row>
    <row r="351" spans="4:7" hidden="1" outlineLevel="1" x14ac:dyDescent="0.25">
      <c r="D351" t="s">
        <v>85</v>
      </c>
      <c r="E351">
        <v>1412</v>
      </c>
      <c r="F351" s="17">
        <v>3.600000000000001</v>
      </c>
      <c r="G351" s="17">
        <v>0.46519648787366369</v>
      </c>
    </row>
    <row r="352" spans="4:7" hidden="1" outlineLevel="1" x14ac:dyDescent="0.25">
      <c r="D352" t="s">
        <v>85</v>
      </c>
      <c r="E352">
        <v>1412</v>
      </c>
      <c r="F352" s="17">
        <v>3.8000000000000012</v>
      </c>
      <c r="G352" s="17">
        <v>0.46519648787366369</v>
      </c>
    </row>
    <row r="353" spans="4:7" hidden="1" outlineLevel="1" x14ac:dyDescent="0.25">
      <c r="D353" t="s">
        <v>85</v>
      </c>
      <c r="E353">
        <v>1412</v>
      </c>
      <c r="F353" s="17">
        <v>4.0000000000000009</v>
      </c>
      <c r="G353" s="17">
        <v>0.46519648787366369</v>
      </c>
    </row>
    <row r="354" spans="4:7" collapsed="1" x14ac:dyDescent="0.25"/>
    <row r="355" spans="4:7" x14ac:dyDescent="0.25">
      <c r="D355" s="13" t="s">
        <v>86</v>
      </c>
      <c r="E355" s="13">
        <v>1413</v>
      </c>
      <c r="F355" s="13" t="s">
        <v>55</v>
      </c>
      <c r="G355" s="13" t="s">
        <v>50</v>
      </c>
    </row>
    <row r="356" spans="4:7" ht="14.25" hidden="1" customHeight="1" outlineLevel="1" x14ac:dyDescent="0.25">
      <c r="D356" t="s">
        <v>86</v>
      </c>
      <c r="E356">
        <v>1413</v>
      </c>
      <c r="F356" s="17">
        <v>0</v>
      </c>
      <c r="G356" s="17">
        <v>0</v>
      </c>
    </row>
    <row r="357" spans="4:7" hidden="1" outlineLevel="1" x14ac:dyDescent="0.25">
      <c r="D357" t="s">
        <v>86</v>
      </c>
      <c r="E357">
        <v>1413</v>
      </c>
      <c r="F357" s="17">
        <v>0.2</v>
      </c>
      <c r="G357" s="17">
        <v>7.3662705036376619E-2</v>
      </c>
    </row>
    <row r="358" spans="4:7" hidden="1" outlineLevel="1" x14ac:dyDescent="0.25">
      <c r="D358" t="s">
        <v>86</v>
      </c>
      <c r="E358">
        <v>1413</v>
      </c>
      <c r="F358" s="17">
        <v>0.4</v>
      </c>
      <c r="G358" s="17">
        <v>0.14732541007275324</v>
      </c>
    </row>
    <row r="359" spans="4:7" hidden="1" outlineLevel="1" x14ac:dyDescent="0.25">
      <c r="D359" t="s">
        <v>86</v>
      </c>
      <c r="E359">
        <v>1413</v>
      </c>
      <c r="F359" s="17">
        <v>0.60000000000000009</v>
      </c>
      <c r="G359" s="17">
        <v>0.18667484044036878</v>
      </c>
    </row>
    <row r="360" spans="4:7" hidden="1" outlineLevel="1" x14ac:dyDescent="0.25">
      <c r="D360" t="s">
        <v>86</v>
      </c>
      <c r="E360">
        <v>1413</v>
      </c>
      <c r="F360" s="17">
        <v>0.8</v>
      </c>
      <c r="G360" s="17">
        <v>0.23746202903090469</v>
      </c>
    </row>
    <row r="361" spans="4:7" hidden="1" outlineLevel="1" x14ac:dyDescent="0.25">
      <c r="D361" t="s">
        <v>86</v>
      </c>
      <c r="E361">
        <v>1413</v>
      </c>
      <c r="F361" s="17">
        <v>1</v>
      </c>
      <c r="G361" s="17">
        <v>0.25584223598983291</v>
      </c>
    </row>
    <row r="362" spans="4:7" hidden="1" outlineLevel="1" x14ac:dyDescent="0.25">
      <c r="D362" t="s">
        <v>86</v>
      </c>
      <c r="E362">
        <v>1413</v>
      </c>
      <c r="F362" s="17">
        <v>1.2</v>
      </c>
      <c r="G362" s="17">
        <v>0.27422244294876119</v>
      </c>
    </row>
    <row r="363" spans="4:7" hidden="1" outlineLevel="1" x14ac:dyDescent="0.25">
      <c r="D363" t="s">
        <v>86</v>
      </c>
      <c r="E363">
        <v>1413</v>
      </c>
      <c r="F363" s="17">
        <v>1.4</v>
      </c>
      <c r="G363" s="17">
        <v>0.31357489186960952</v>
      </c>
    </row>
    <row r="364" spans="4:7" hidden="1" outlineLevel="1" x14ac:dyDescent="0.25">
      <c r="D364" t="s">
        <v>86</v>
      </c>
      <c r="E364">
        <v>1413</v>
      </c>
      <c r="F364" s="17">
        <v>1.5999999999999999</v>
      </c>
      <c r="G364" s="17">
        <v>0.33195509882853769</v>
      </c>
    </row>
    <row r="365" spans="4:7" hidden="1" outlineLevel="1" x14ac:dyDescent="0.25">
      <c r="D365" t="s">
        <v>86</v>
      </c>
      <c r="E365">
        <v>1413</v>
      </c>
      <c r="F365" s="17">
        <v>1.7999999999999998</v>
      </c>
      <c r="G365" s="17">
        <v>0.35033530578746591</v>
      </c>
    </row>
    <row r="366" spans="4:7" hidden="1" outlineLevel="1" x14ac:dyDescent="0.25">
      <c r="D366" t="s">
        <v>86</v>
      </c>
      <c r="E366">
        <v>1413</v>
      </c>
      <c r="F366" s="17">
        <v>1.9999999999999998</v>
      </c>
      <c r="G366" s="17">
        <v>0.36871551274639414</v>
      </c>
    </row>
    <row r="367" spans="4:7" hidden="1" outlineLevel="1" x14ac:dyDescent="0.25">
      <c r="D367" t="s">
        <v>86</v>
      </c>
      <c r="E367">
        <v>1413</v>
      </c>
      <c r="F367" s="17">
        <v>2.1999999999999997</v>
      </c>
      <c r="G367" s="17">
        <v>0.38709571970532231</v>
      </c>
    </row>
    <row r="368" spans="4:7" hidden="1" outlineLevel="1" x14ac:dyDescent="0.25">
      <c r="D368" t="s">
        <v>86</v>
      </c>
      <c r="E368">
        <v>1413</v>
      </c>
      <c r="F368" s="17">
        <v>2.4</v>
      </c>
      <c r="G368" s="17">
        <v>0.44741437348162527</v>
      </c>
    </row>
    <row r="369" spans="4:7" hidden="1" outlineLevel="1" x14ac:dyDescent="0.25">
      <c r="D369" t="s">
        <v>86</v>
      </c>
      <c r="E369">
        <v>1413</v>
      </c>
      <c r="F369" s="17">
        <v>2.6</v>
      </c>
      <c r="G369" s="17">
        <v>0.4777566505311206</v>
      </c>
    </row>
    <row r="370" spans="4:7" hidden="1" outlineLevel="1" x14ac:dyDescent="0.25">
      <c r="D370" t="s">
        <v>86</v>
      </c>
      <c r="E370">
        <v>1413</v>
      </c>
      <c r="F370" s="17">
        <v>2.8000000000000003</v>
      </c>
      <c r="G370" s="17">
        <v>0.4777566505311206</v>
      </c>
    </row>
    <row r="371" spans="4:7" hidden="1" outlineLevel="1" x14ac:dyDescent="0.25">
      <c r="D371" t="s">
        <v>86</v>
      </c>
      <c r="E371">
        <v>1413</v>
      </c>
      <c r="F371" s="17">
        <v>3.0000000000000004</v>
      </c>
      <c r="G371" s="17">
        <v>0.4777566505311206</v>
      </c>
    </row>
    <row r="372" spans="4:7" hidden="1" outlineLevel="1" x14ac:dyDescent="0.25">
      <c r="D372" t="s">
        <v>86</v>
      </c>
      <c r="E372">
        <v>1413</v>
      </c>
      <c r="F372" s="17">
        <v>3.2000000000000006</v>
      </c>
      <c r="G372" s="17">
        <v>0.4777566505311206</v>
      </c>
    </row>
    <row r="373" spans="4:7" hidden="1" outlineLevel="1" x14ac:dyDescent="0.25">
      <c r="D373" t="s">
        <v>86</v>
      </c>
      <c r="E373">
        <v>1413</v>
      </c>
      <c r="F373" s="17">
        <v>3.4000000000000008</v>
      </c>
      <c r="G373" s="17">
        <v>0.4777566505311206</v>
      </c>
    </row>
    <row r="374" spans="4:7" hidden="1" outlineLevel="1" x14ac:dyDescent="0.25">
      <c r="D374" t="s">
        <v>86</v>
      </c>
      <c r="E374">
        <v>1413</v>
      </c>
      <c r="F374" s="17">
        <v>3.600000000000001</v>
      </c>
      <c r="G374" s="17">
        <v>0.4777566505311206</v>
      </c>
    </row>
    <row r="375" spans="4:7" hidden="1" outlineLevel="1" x14ac:dyDescent="0.25">
      <c r="D375" t="s">
        <v>86</v>
      </c>
      <c r="E375">
        <v>1413</v>
      </c>
      <c r="F375" s="17">
        <v>3.8000000000000012</v>
      </c>
      <c r="G375" s="17">
        <v>0.4777566505311206</v>
      </c>
    </row>
    <row r="376" spans="4:7" hidden="1" outlineLevel="1" x14ac:dyDescent="0.25">
      <c r="D376" t="s">
        <v>86</v>
      </c>
      <c r="E376">
        <v>1413</v>
      </c>
      <c r="F376" s="17">
        <v>4.0000000000000009</v>
      </c>
      <c r="G376" s="17">
        <v>0.4777566505311206</v>
      </c>
    </row>
    <row r="377" spans="4:7" collapsed="1" x14ac:dyDescent="0.25"/>
    <row r="378" spans="4:7" x14ac:dyDescent="0.25">
      <c r="D378" s="13" t="s">
        <v>87</v>
      </c>
      <c r="E378" s="13">
        <v>1414</v>
      </c>
      <c r="F378" s="13" t="s">
        <v>55</v>
      </c>
      <c r="G378" s="13" t="s">
        <v>50</v>
      </c>
    </row>
    <row r="379" spans="4:7" ht="14.25" hidden="1" customHeight="1" outlineLevel="1" x14ac:dyDescent="0.25">
      <c r="D379" t="s">
        <v>87</v>
      </c>
      <c r="E379">
        <v>1414</v>
      </c>
      <c r="F379" s="17">
        <v>0</v>
      </c>
      <c r="G379" s="17">
        <v>0</v>
      </c>
    </row>
    <row r="380" spans="4:7" hidden="1" outlineLevel="1" x14ac:dyDescent="0.25">
      <c r="D380" t="s">
        <v>87</v>
      </c>
      <c r="E380">
        <v>1414</v>
      </c>
      <c r="F380" s="17">
        <v>0.2</v>
      </c>
      <c r="G380" s="17">
        <v>0.31157876002894069</v>
      </c>
    </row>
    <row r="381" spans="4:7" hidden="1" outlineLevel="1" x14ac:dyDescent="0.25">
      <c r="D381" t="s">
        <v>87</v>
      </c>
      <c r="E381">
        <v>1414</v>
      </c>
      <c r="F381" s="17">
        <v>0.4</v>
      </c>
      <c r="G381" s="17">
        <v>0.50818602110944189</v>
      </c>
    </row>
    <row r="382" spans="4:7" hidden="1" outlineLevel="1" x14ac:dyDescent="0.25">
      <c r="D382" t="s">
        <v>87</v>
      </c>
      <c r="E382">
        <v>1414</v>
      </c>
      <c r="F382" s="17">
        <v>0.60000000000000009</v>
      </c>
      <c r="G382" s="17">
        <v>0.58982178324150347</v>
      </c>
    </row>
    <row r="383" spans="4:7" hidden="1" outlineLevel="1" x14ac:dyDescent="0.25">
      <c r="D383" t="s">
        <v>87</v>
      </c>
      <c r="E383">
        <v>1414</v>
      </c>
      <c r="F383" s="17">
        <v>0.8</v>
      </c>
      <c r="G383" s="17">
        <v>0.70978137835637833</v>
      </c>
    </row>
    <row r="384" spans="4:7" hidden="1" outlineLevel="1" x14ac:dyDescent="0.25">
      <c r="D384" t="s">
        <v>87</v>
      </c>
      <c r="E384">
        <v>1414</v>
      </c>
      <c r="F384" s="17">
        <v>1</v>
      </c>
      <c r="G384" s="17">
        <v>0.72115678001994932</v>
      </c>
    </row>
    <row r="385" spans="4:7" hidden="1" outlineLevel="1" x14ac:dyDescent="0.25">
      <c r="D385" t="s">
        <v>87</v>
      </c>
      <c r="E385">
        <v>1414</v>
      </c>
      <c r="F385" s="17">
        <v>1.2</v>
      </c>
      <c r="G385" s="17">
        <v>0.73253218168352008</v>
      </c>
    </row>
    <row r="386" spans="4:7" hidden="1" outlineLevel="1" x14ac:dyDescent="0.25">
      <c r="D386" t="s">
        <v>87</v>
      </c>
      <c r="E386">
        <v>1414</v>
      </c>
      <c r="F386" s="17">
        <v>1.4</v>
      </c>
      <c r="G386" s="17">
        <v>0.75025771727570967</v>
      </c>
    </row>
    <row r="387" spans="4:7" hidden="1" outlineLevel="1" x14ac:dyDescent="0.25">
      <c r="D387" t="s">
        <v>87</v>
      </c>
      <c r="E387">
        <v>1414</v>
      </c>
      <c r="F387" s="17">
        <v>1.5999999999999999</v>
      </c>
      <c r="G387" s="17">
        <v>0.76163311893928054</v>
      </c>
    </row>
    <row r="388" spans="4:7" hidden="1" outlineLevel="1" x14ac:dyDescent="0.25">
      <c r="D388" t="s">
        <v>87</v>
      </c>
      <c r="E388">
        <v>1414</v>
      </c>
      <c r="F388" s="17">
        <v>1.7999999999999998</v>
      </c>
      <c r="G388" s="17">
        <v>0.77300852060285152</v>
      </c>
    </row>
    <row r="389" spans="4:7" hidden="1" outlineLevel="1" x14ac:dyDescent="0.25">
      <c r="D389" t="s">
        <v>87</v>
      </c>
      <c r="E389">
        <v>1414</v>
      </c>
      <c r="F389" s="17">
        <v>1.9999999999999998</v>
      </c>
      <c r="G389" s="17">
        <v>0.78438392226642217</v>
      </c>
    </row>
    <row r="390" spans="4:7" hidden="1" outlineLevel="1" x14ac:dyDescent="0.25">
      <c r="D390" t="s">
        <v>87</v>
      </c>
      <c r="E390">
        <v>1414</v>
      </c>
      <c r="F390" s="17">
        <v>2.1999999999999997</v>
      </c>
      <c r="G390" s="17">
        <v>0.79575932392999305</v>
      </c>
    </row>
    <row r="391" spans="4:7" hidden="1" outlineLevel="1" x14ac:dyDescent="0.25">
      <c r="D391" t="s">
        <v>87</v>
      </c>
      <c r="E391">
        <v>1414</v>
      </c>
      <c r="F391" s="17">
        <v>2.4</v>
      </c>
      <c r="G391" s="17">
        <v>0.83268394758210584</v>
      </c>
    </row>
    <row r="392" spans="4:7" hidden="1" outlineLevel="1" x14ac:dyDescent="0.25">
      <c r="D392" t="s">
        <v>87</v>
      </c>
      <c r="E392">
        <v>1414</v>
      </c>
      <c r="F392" s="17">
        <v>2.6</v>
      </c>
      <c r="G392" s="17">
        <v>0.84187121155290112</v>
      </c>
    </row>
    <row r="393" spans="4:7" hidden="1" outlineLevel="1" x14ac:dyDescent="0.25">
      <c r="D393" t="s">
        <v>87</v>
      </c>
      <c r="E393">
        <v>1414</v>
      </c>
      <c r="F393" s="17">
        <v>2.8000000000000003</v>
      </c>
      <c r="G393" s="17">
        <v>0.84187121155290112</v>
      </c>
    </row>
    <row r="394" spans="4:7" hidden="1" outlineLevel="1" x14ac:dyDescent="0.25">
      <c r="D394" t="s">
        <v>87</v>
      </c>
      <c r="E394">
        <v>1414</v>
      </c>
      <c r="F394" s="17">
        <v>3.0000000000000004</v>
      </c>
      <c r="G394" s="17">
        <v>0.84187121155290112</v>
      </c>
    </row>
    <row r="395" spans="4:7" hidden="1" outlineLevel="1" x14ac:dyDescent="0.25">
      <c r="D395" t="s">
        <v>87</v>
      </c>
      <c r="E395">
        <v>1414</v>
      </c>
      <c r="F395" s="17">
        <v>3.2000000000000006</v>
      </c>
      <c r="G395" s="17">
        <v>0.84187121155290112</v>
      </c>
    </row>
    <row r="396" spans="4:7" hidden="1" outlineLevel="1" x14ac:dyDescent="0.25">
      <c r="D396" t="s">
        <v>87</v>
      </c>
      <c r="E396">
        <v>1414</v>
      </c>
      <c r="F396" s="17">
        <v>3.4000000000000008</v>
      </c>
      <c r="G396" s="17">
        <v>0.84187121155290112</v>
      </c>
    </row>
    <row r="397" spans="4:7" hidden="1" outlineLevel="1" x14ac:dyDescent="0.25">
      <c r="D397" t="s">
        <v>87</v>
      </c>
      <c r="E397">
        <v>1414</v>
      </c>
      <c r="F397" s="17">
        <v>3.600000000000001</v>
      </c>
      <c r="G397" s="17">
        <v>0.84187121155290112</v>
      </c>
    </row>
    <row r="398" spans="4:7" hidden="1" outlineLevel="1" x14ac:dyDescent="0.25">
      <c r="D398" t="s">
        <v>87</v>
      </c>
      <c r="E398">
        <v>1414</v>
      </c>
      <c r="F398" s="17">
        <v>3.8000000000000012</v>
      </c>
      <c r="G398" s="17">
        <v>0.84187121155290112</v>
      </c>
    </row>
    <row r="399" spans="4:7" hidden="1" outlineLevel="1" x14ac:dyDescent="0.25">
      <c r="D399" t="s">
        <v>87</v>
      </c>
      <c r="E399">
        <v>1414</v>
      </c>
      <c r="F399" s="17">
        <v>4.0000000000000009</v>
      </c>
      <c r="G399" s="17">
        <v>0.84187121155290112</v>
      </c>
    </row>
    <row r="400" spans="4:7" collapsed="1" x14ac:dyDescent="0.25"/>
    <row r="401" spans="4:7" x14ac:dyDescent="0.25">
      <c r="D401" s="13" t="s">
        <v>88</v>
      </c>
      <c r="E401" s="13">
        <v>1415</v>
      </c>
      <c r="F401" s="13" t="s">
        <v>55</v>
      </c>
      <c r="G401" s="13" t="s">
        <v>50</v>
      </c>
    </row>
    <row r="402" spans="4:7" ht="14.25" hidden="1" customHeight="1" outlineLevel="1" x14ac:dyDescent="0.25">
      <c r="D402" t="s">
        <v>88</v>
      </c>
      <c r="E402">
        <v>1415</v>
      </c>
      <c r="F402" s="17">
        <v>0</v>
      </c>
      <c r="G402" s="17">
        <v>0</v>
      </c>
    </row>
    <row r="403" spans="4:7" hidden="1" outlineLevel="1" x14ac:dyDescent="0.25">
      <c r="D403" t="s">
        <v>88</v>
      </c>
      <c r="E403">
        <v>1415</v>
      </c>
      <c r="F403" s="17">
        <v>0.2</v>
      </c>
      <c r="G403" s="17">
        <v>9.1872266782311238E-2</v>
      </c>
    </row>
    <row r="404" spans="4:7" hidden="1" outlineLevel="1" x14ac:dyDescent="0.25">
      <c r="D404" t="s">
        <v>88</v>
      </c>
      <c r="E404">
        <v>1415</v>
      </c>
      <c r="F404" s="17">
        <v>0.4</v>
      </c>
      <c r="G404" s="17">
        <v>0.18374453356462248</v>
      </c>
    </row>
    <row r="405" spans="4:7" hidden="1" outlineLevel="1" x14ac:dyDescent="0.25">
      <c r="D405" t="s">
        <v>88</v>
      </c>
      <c r="E405">
        <v>1415</v>
      </c>
      <c r="F405" s="17">
        <v>0.60000000000000009</v>
      </c>
      <c r="G405" s="17">
        <v>0.22935707629808691</v>
      </c>
    </row>
    <row r="406" spans="4:7" hidden="1" outlineLevel="1" x14ac:dyDescent="0.25">
      <c r="D406" t="s">
        <v>88</v>
      </c>
      <c r="E406">
        <v>1415</v>
      </c>
      <c r="F406" s="17">
        <v>0.8</v>
      </c>
      <c r="G406" s="17">
        <v>0.29038952704783361</v>
      </c>
    </row>
    <row r="407" spans="4:7" hidden="1" outlineLevel="1" x14ac:dyDescent="0.25">
      <c r="D407" t="s">
        <v>88</v>
      </c>
      <c r="E407">
        <v>1415</v>
      </c>
      <c r="F407" s="17">
        <v>1</v>
      </c>
      <c r="G407" s="17">
        <v>0.30773223841811387</v>
      </c>
    </row>
    <row r="408" spans="4:7" hidden="1" outlineLevel="1" x14ac:dyDescent="0.25">
      <c r="D408" t="s">
        <v>88</v>
      </c>
      <c r="E408">
        <v>1415</v>
      </c>
      <c r="F408" s="17">
        <v>1.2</v>
      </c>
      <c r="G408" s="17">
        <v>0.32507494978839419</v>
      </c>
    </row>
    <row r="409" spans="4:7" hidden="1" outlineLevel="1" x14ac:dyDescent="0.25">
      <c r="D409" t="s">
        <v>88</v>
      </c>
      <c r="E409">
        <v>1415</v>
      </c>
      <c r="F409" s="17">
        <v>1.4</v>
      </c>
      <c r="G409" s="17">
        <v>0.36122419373373432</v>
      </c>
    </row>
    <row r="410" spans="4:7" hidden="1" outlineLevel="1" x14ac:dyDescent="0.25">
      <c r="D410" t="s">
        <v>88</v>
      </c>
      <c r="E410">
        <v>1415</v>
      </c>
      <c r="F410" s="17">
        <v>1.5999999999999999</v>
      </c>
      <c r="G410" s="17">
        <v>0.37856690510401458</v>
      </c>
    </row>
    <row r="411" spans="4:7" hidden="1" outlineLevel="1" x14ac:dyDescent="0.25">
      <c r="D411" t="s">
        <v>88</v>
      </c>
      <c r="E411">
        <v>1415</v>
      </c>
      <c r="F411" s="17">
        <v>1.7999999999999998</v>
      </c>
      <c r="G411" s="17">
        <v>0.39590961647429485</v>
      </c>
    </row>
    <row r="412" spans="4:7" hidden="1" outlineLevel="1" x14ac:dyDescent="0.25">
      <c r="D412" t="s">
        <v>88</v>
      </c>
      <c r="E412">
        <v>1415</v>
      </c>
      <c r="F412" s="17">
        <v>1.9999999999999998</v>
      </c>
      <c r="G412" s="17">
        <v>0.41325232784457511</v>
      </c>
    </row>
    <row r="413" spans="4:7" hidden="1" outlineLevel="1" x14ac:dyDescent="0.25">
      <c r="D413" t="s">
        <v>88</v>
      </c>
      <c r="E413">
        <v>1415</v>
      </c>
      <c r="F413" s="17">
        <v>2.1999999999999997</v>
      </c>
      <c r="G413" s="17">
        <v>0.43059503921485542</v>
      </c>
    </row>
    <row r="414" spans="4:7" hidden="1" outlineLevel="1" x14ac:dyDescent="0.25">
      <c r="D414" t="s">
        <v>88</v>
      </c>
      <c r="E414">
        <v>1415</v>
      </c>
      <c r="F414" s="17">
        <v>2.4</v>
      </c>
      <c r="G414" s="17">
        <v>0.50447741331150397</v>
      </c>
    </row>
    <row r="415" spans="4:7" hidden="1" outlineLevel="1" x14ac:dyDescent="0.25">
      <c r="D415" t="s">
        <v>88</v>
      </c>
      <c r="E415">
        <v>1415</v>
      </c>
      <c r="F415" s="17">
        <v>2.6</v>
      </c>
      <c r="G415" s="17">
        <v>0.53168637946633568</v>
      </c>
    </row>
    <row r="416" spans="4:7" hidden="1" outlineLevel="1" x14ac:dyDescent="0.25">
      <c r="D416" t="s">
        <v>88</v>
      </c>
      <c r="E416">
        <v>1415</v>
      </c>
      <c r="F416" s="17">
        <v>2.8000000000000003</v>
      </c>
      <c r="G416" s="17">
        <v>0.53168637946633568</v>
      </c>
    </row>
    <row r="417" spans="4:7" hidden="1" outlineLevel="1" x14ac:dyDescent="0.25">
      <c r="D417" t="s">
        <v>88</v>
      </c>
      <c r="E417">
        <v>1415</v>
      </c>
      <c r="F417" s="17">
        <v>3.0000000000000004</v>
      </c>
      <c r="G417" s="17">
        <v>0.53168637946633568</v>
      </c>
    </row>
    <row r="418" spans="4:7" hidden="1" outlineLevel="1" x14ac:dyDescent="0.25">
      <c r="D418" t="s">
        <v>88</v>
      </c>
      <c r="E418">
        <v>1415</v>
      </c>
      <c r="F418" s="17">
        <v>3.2000000000000006</v>
      </c>
      <c r="G418" s="17">
        <v>0.53168637946633568</v>
      </c>
    </row>
    <row r="419" spans="4:7" hidden="1" outlineLevel="1" x14ac:dyDescent="0.25">
      <c r="D419" t="s">
        <v>88</v>
      </c>
      <c r="E419">
        <v>1415</v>
      </c>
      <c r="F419" s="17">
        <v>3.4000000000000008</v>
      </c>
      <c r="G419" s="17">
        <v>0.53168637946633568</v>
      </c>
    </row>
    <row r="420" spans="4:7" hidden="1" outlineLevel="1" x14ac:dyDescent="0.25">
      <c r="D420" t="s">
        <v>88</v>
      </c>
      <c r="E420">
        <v>1415</v>
      </c>
      <c r="F420" s="17">
        <v>3.600000000000001</v>
      </c>
      <c r="G420" s="17">
        <v>0.53168637946633568</v>
      </c>
    </row>
    <row r="421" spans="4:7" hidden="1" outlineLevel="1" x14ac:dyDescent="0.25">
      <c r="D421" t="s">
        <v>88</v>
      </c>
      <c r="E421">
        <v>1415</v>
      </c>
      <c r="F421" s="17">
        <v>3.8000000000000012</v>
      </c>
      <c r="G421" s="17">
        <v>0.53168637946633568</v>
      </c>
    </row>
    <row r="422" spans="4:7" hidden="1" outlineLevel="1" x14ac:dyDescent="0.25">
      <c r="D422" t="s">
        <v>88</v>
      </c>
      <c r="E422">
        <v>1415</v>
      </c>
      <c r="F422" s="17">
        <v>4.0000000000000009</v>
      </c>
      <c r="G422" s="17">
        <v>0.53168637946633568</v>
      </c>
    </row>
    <row r="423" spans="4:7" collapsed="1" x14ac:dyDescent="0.25"/>
    <row r="424" spans="4:7" x14ac:dyDescent="0.25">
      <c r="D424" s="13" t="s">
        <v>89</v>
      </c>
      <c r="E424" s="13">
        <v>1420</v>
      </c>
      <c r="F424" s="13" t="s">
        <v>55</v>
      </c>
      <c r="G424" s="13" t="s">
        <v>48</v>
      </c>
    </row>
    <row r="425" spans="4:7" ht="14.25" hidden="1" customHeight="1" outlineLevel="1" x14ac:dyDescent="0.25">
      <c r="D425" t="s">
        <v>89</v>
      </c>
      <c r="E425">
        <v>1420</v>
      </c>
      <c r="F425" s="17">
        <v>0</v>
      </c>
      <c r="G425" s="17">
        <v>0</v>
      </c>
    </row>
    <row r="426" spans="4:7" hidden="1" outlineLevel="1" x14ac:dyDescent="0.25">
      <c r="D426" t="s">
        <v>89</v>
      </c>
      <c r="E426">
        <v>1420</v>
      </c>
      <c r="F426" s="17">
        <v>0.2</v>
      </c>
      <c r="G426" s="17">
        <v>2.3354550879486232E-2</v>
      </c>
    </row>
    <row r="427" spans="4:7" hidden="1" outlineLevel="1" x14ac:dyDescent="0.25">
      <c r="D427" t="s">
        <v>89</v>
      </c>
      <c r="E427">
        <v>1420</v>
      </c>
      <c r="F427" s="17">
        <v>0.4</v>
      </c>
      <c r="G427" s="17">
        <v>4.6709101758972464E-2</v>
      </c>
    </row>
    <row r="428" spans="4:7" hidden="1" outlineLevel="1" x14ac:dyDescent="0.25">
      <c r="D428" t="s">
        <v>89</v>
      </c>
      <c r="E428">
        <v>1420</v>
      </c>
      <c r="F428" s="17">
        <v>0.60000000000000009</v>
      </c>
      <c r="G428" s="17">
        <v>7.0063652638458693E-2</v>
      </c>
    </row>
    <row r="429" spans="4:7" hidden="1" outlineLevel="1" x14ac:dyDescent="0.25">
      <c r="D429" t="s">
        <v>89</v>
      </c>
      <c r="E429">
        <v>1420</v>
      </c>
      <c r="F429" s="17">
        <v>0.8</v>
      </c>
      <c r="G429" s="17">
        <v>9.3418203517944928E-2</v>
      </c>
    </row>
    <row r="430" spans="4:7" hidden="1" outlineLevel="1" x14ac:dyDescent="0.25">
      <c r="D430" t="s">
        <v>89</v>
      </c>
      <c r="E430">
        <v>1420</v>
      </c>
      <c r="F430" s="17">
        <v>1</v>
      </c>
      <c r="G430" s="17">
        <v>0.11677275439743115</v>
      </c>
    </row>
    <row r="431" spans="4:7" hidden="1" outlineLevel="1" x14ac:dyDescent="0.25">
      <c r="D431" t="s">
        <v>89</v>
      </c>
      <c r="E431">
        <v>1420</v>
      </c>
      <c r="F431" s="17">
        <v>1.2</v>
      </c>
      <c r="G431" s="17">
        <v>0.14012730527691739</v>
      </c>
    </row>
    <row r="432" spans="4:7" hidden="1" outlineLevel="1" x14ac:dyDescent="0.25">
      <c r="D432" t="s">
        <v>89</v>
      </c>
      <c r="E432">
        <v>1420</v>
      </c>
      <c r="F432" s="17">
        <v>1.4</v>
      </c>
      <c r="G432" s="17">
        <v>0.20320110255463042</v>
      </c>
    </row>
    <row r="433" spans="4:7" hidden="1" outlineLevel="1" x14ac:dyDescent="0.25">
      <c r="D433" t="s">
        <v>89</v>
      </c>
      <c r="E433">
        <v>1420</v>
      </c>
      <c r="F433" s="17">
        <v>1.5999999999999999</v>
      </c>
      <c r="G433" s="17">
        <v>0.22655565343411666</v>
      </c>
    </row>
    <row r="434" spans="4:7" hidden="1" outlineLevel="1" x14ac:dyDescent="0.25">
      <c r="D434" t="s">
        <v>89</v>
      </c>
      <c r="E434">
        <v>1420</v>
      </c>
      <c r="F434" s="17">
        <v>1.7999999999999998</v>
      </c>
      <c r="G434" s="17">
        <v>0.24991020431360286</v>
      </c>
    </row>
    <row r="435" spans="4:7" hidden="1" outlineLevel="1" x14ac:dyDescent="0.25">
      <c r="D435" t="s">
        <v>89</v>
      </c>
      <c r="E435">
        <v>1420</v>
      </c>
      <c r="F435" s="17">
        <v>1.9999999999999998</v>
      </c>
      <c r="G435" s="17">
        <v>0.27326475519308907</v>
      </c>
    </row>
    <row r="436" spans="4:7" hidden="1" outlineLevel="1" x14ac:dyDescent="0.25">
      <c r="D436" t="s">
        <v>89</v>
      </c>
      <c r="E436">
        <v>1420</v>
      </c>
      <c r="F436" s="17">
        <v>2.1999999999999997</v>
      </c>
      <c r="G436" s="17">
        <v>0.29661930607257531</v>
      </c>
    </row>
    <row r="437" spans="4:7" hidden="1" outlineLevel="1" x14ac:dyDescent="0.25">
      <c r="D437" t="s">
        <v>89</v>
      </c>
      <c r="E437">
        <v>1420</v>
      </c>
      <c r="F437" s="17">
        <v>2.4</v>
      </c>
      <c r="G437" s="17">
        <v>0.31997385695206149</v>
      </c>
    </row>
    <row r="438" spans="4:7" hidden="1" outlineLevel="1" x14ac:dyDescent="0.25">
      <c r="D438" t="s">
        <v>89</v>
      </c>
      <c r="E438">
        <v>1420</v>
      </c>
      <c r="F438" s="17">
        <v>2.6</v>
      </c>
      <c r="G438" s="17">
        <v>0.46311045437753967</v>
      </c>
    </row>
    <row r="439" spans="4:7" hidden="1" outlineLevel="1" x14ac:dyDescent="0.25">
      <c r="D439" t="s">
        <v>89</v>
      </c>
      <c r="E439">
        <v>1420</v>
      </c>
      <c r="F439" s="17">
        <v>2.8000000000000003</v>
      </c>
      <c r="G439" s="17">
        <v>0.46311045437753967</v>
      </c>
    </row>
    <row r="440" spans="4:7" hidden="1" outlineLevel="1" x14ac:dyDescent="0.25">
      <c r="D440" t="s">
        <v>89</v>
      </c>
      <c r="E440">
        <v>1420</v>
      </c>
      <c r="F440" s="17">
        <v>3.0000000000000004</v>
      </c>
      <c r="G440" s="17">
        <v>0.46311045437753967</v>
      </c>
    </row>
    <row r="441" spans="4:7" hidden="1" outlineLevel="1" x14ac:dyDescent="0.25">
      <c r="D441" t="s">
        <v>89</v>
      </c>
      <c r="E441">
        <v>1420</v>
      </c>
      <c r="F441" s="17">
        <v>3.2000000000000006</v>
      </c>
      <c r="G441" s="17">
        <v>0.46311045437753967</v>
      </c>
    </row>
    <row r="442" spans="4:7" hidden="1" outlineLevel="1" x14ac:dyDescent="0.25">
      <c r="D442" t="s">
        <v>89</v>
      </c>
      <c r="E442">
        <v>1420</v>
      </c>
      <c r="F442" s="17">
        <v>3.4000000000000008</v>
      </c>
      <c r="G442" s="17">
        <v>0.46311045437753967</v>
      </c>
    </row>
    <row r="443" spans="4:7" hidden="1" outlineLevel="1" x14ac:dyDescent="0.25">
      <c r="D443" t="s">
        <v>89</v>
      </c>
      <c r="E443">
        <v>1420</v>
      </c>
      <c r="F443" s="17">
        <v>3.600000000000001</v>
      </c>
      <c r="G443" s="17">
        <v>0.46311045437753967</v>
      </c>
    </row>
    <row r="444" spans="4:7" hidden="1" outlineLevel="1" x14ac:dyDescent="0.25">
      <c r="D444" t="s">
        <v>89</v>
      </c>
      <c r="E444">
        <v>1420</v>
      </c>
      <c r="F444" s="17">
        <v>3.8000000000000012</v>
      </c>
      <c r="G444" s="17">
        <v>0.46311045437753967</v>
      </c>
    </row>
    <row r="445" spans="4:7" hidden="1" outlineLevel="1" x14ac:dyDescent="0.25">
      <c r="D445" t="s">
        <v>89</v>
      </c>
      <c r="E445">
        <v>1420</v>
      </c>
      <c r="F445" s="17">
        <v>4.0000000000000009</v>
      </c>
      <c r="G445" s="17">
        <v>0.46311045437753967</v>
      </c>
    </row>
    <row r="446" spans="4:7" collapsed="1" x14ac:dyDescent="0.25"/>
    <row r="447" spans="4:7" ht="15.75" customHeight="1" x14ac:dyDescent="0.25">
      <c r="D447" s="13" t="s">
        <v>90</v>
      </c>
      <c r="E447" s="13">
        <v>1421</v>
      </c>
      <c r="F447" s="13" t="s">
        <v>55</v>
      </c>
      <c r="G447" s="13" t="s">
        <v>49</v>
      </c>
    </row>
    <row r="448" spans="4:7" ht="14.25" hidden="1" customHeight="1" outlineLevel="1" x14ac:dyDescent="0.25">
      <c r="D448" t="s">
        <v>90</v>
      </c>
      <c r="E448">
        <v>1421</v>
      </c>
      <c r="F448" s="17">
        <v>0</v>
      </c>
      <c r="G448" s="17">
        <v>0</v>
      </c>
    </row>
    <row r="449" spans="4:7" hidden="1" outlineLevel="1" x14ac:dyDescent="0.25">
      <c r="D449" t="s">
        <v>90</v>
      </c>
      <c r="E449">
        <v>1421</v>
      </c>
      <c r="F449" s="17">
        <v>0.2</v>
      </c>
      <c r="G449" s="17">
        <v>3.798093401176747E-2</v>
      </c>
    </row>
    <row r="450" spans="4:7" hidden="1" outlineLevel="1" x14ac:dyDescent="0.25">
      <c r="D450" t="s">
        <v>90</v>
      </c>
      <c r="E450">
        <v>1421</v>
      </c>
      <c r="F450" s="17">
        <v>0.4</v>
      </c>
      <c r="G450" s="17">
        <v>7.596186802353494E-2</v>
      </c>
    </row>
    <row r="451" spans="4:7" hidden="1" outlineLevel="1" x14ac:dyDescent="0.25">
      <c r="D451" t="s">
        <v>90</v>
      </c>
      <c r="E451">
        <v>1421</v>
      </c>
      <c r="F451" s="17">
        <v>0.60000000000000009</v>
      </c>
      <c r="G451" s="17">
        <v>0.10426267177742286</v>
      </c>
    </row>
    <row r="452" spans="4:7" hidden="1" outlineLevel="1" x14ac:dyDescent="0.25">
      <c r="D452" t="s">
        <v>90</v>
      </c>
      <c r="E452">
        <v>1421</v>
      </c>
      <c r="F452" s="17">
        <v>0.8</v>
      </c>
      <c r="G452" s="17">
        <v>0.1357901856172706</v>
      </c>
    </row>
    <row r="453" spans="4:7" hidden="1" outlineLevel="1" x14ac:dyDescent="0.25">
      <c r="D453" t="s">
        <v>90</v>
      </c>
      <c r="E453">
        <v>1421</v>
      </c>
      <c r="F453" s="17">
        <v>1</v>
      </c>
      <c r="G453" s="17">
        <v>0.15817535421356546</v>
      </c>
    </row>
    <row r="454" spans="4:7" hidden="1" outlineLevel="1" x14ac:dyDescent="0.25">
      <c r="D454" t="s">
        <v>90</v>
      </c>
      <c r="E454">
        <v>1421</v>
      </c>
      <c r="F454" s="17">
        <v>1.2</v>
      </c>
      <c r="G454" s="17">
        <v>0.18056052280986037</v>
      </c>
    </row>
    <row r="455" spans="4:7" hidden="1" outlineLevel="1" x14ac:dyDescent="0.25">
      <c r="D455" t="s">
        <v>90</v>
      </c>
      <c r="E455">
        <v>1421</v>
      </c>
      <c r="F455" s="17">
        <v>1.4</v>
      </c>
      <c r="G455" s="17">
        <v>0.24010168794518436</v>
      </c>
    </row>
    <row r="456" spans="4:7" hidden="1" outlineLevel="1" x14ac:dyDescent="0.25">
      <c r="D456" t="s">
        <v>90</v>
      </c>
      <c r="E456">
        <v>1421</v>
      </c>
      <c r="F456" s="17">
        <v>1.5999999999999999</v>
      </c>
      <c r="G456" s="17">
        <v>0.26248685654147924</v>
      </c>
    </row>
    <row r="457" spans="4:7" hidden="1" outlineLevel="1" x14ac:dyDescent="0.25">
      <c r="D457" t="s">
        <v>90</v>
      </c>
      <c r="E457">
        <v>1421</v>
      </c>
      <c r="F457" s="17">
        <v>1.7999999999999998</v>
      </c>
      <c r="G457" s="17">
        <v>0.28487202513777404</v>
      </c>
    </row>
    <row r="458" spans="4:7" hidden="1" outlineLevel="1" x14ac:dyDescent="0.25">
      <c r="D458" t="s">
        <v>90</v>
      </c>
      <c r="E458">
        <v>1421</v>
      </c>
      <c r="F458" s="17">
        <v>1.9999999999999998</v>
      </c>
      <c r="G458" s="17">
        <v>0.30725719373406885</v>
      </c>
    </row>
    <row r="459" spans="4:7" hidden="1" outlineLevel="1" x14ac:dyDescent="0.25">
      <c r="D459" t="s">
        <v>90</v>
      </c>
      <c r="E459">
        <v>1421</v>
      </c>
      <c r="F459" s="17">
        <v>2.1999999999999997</v>
      </c>
      <c r="G459" s="17">
        <v>0.3296423623303637</v>
      </c>
    </row>
    <row r="460" spans="4:7" hidden="1" outlineLevel="1" x14ac:dyDescent="0.25">
      <c r="D460" t="s">
        <v>90</v>
      </c>
      <c r="E460">
        <v>1421</v>
      </c>
      <c r="F460" s="17">
        <v>2.4</v>
      </c>
      <c r="G460" s="17">
        <v>0.36385880124184466</v>
      </c>
    </row>
    <row r="461" spans="4:7" hidden="1" outlineLevel="1" x14ac:dyDescent="0.25">
      <c r="D461" t="s">
        <v>90</v>
      </c>
      <c r="E461">
        <v>1421</v>
      </c>
      <c r="F461" s="17">
        <v>2.6</v>
      </c>
      <c r="G461" s="17">
        <v>0.49775819261566751</v>
      </c>
    </row>
    <row r="462" spans="4:7" hidden="1" outlineLevel="1" x14ac:dyDescent="0.25">
      <c r="D462" t="s">
        <v>90</v>
      </c>
      <c r="E462">
        <v>1421</v>
      </c>
      <c r="F462" s="17">
        <v>2.8000000000000003</v>
      </c>
      <c r="G462" s="17">
        <v>0.49775819261566751</v>
      </c>
    </row>
    <row r="463" spans="4:7" hidden="1" outlineLevel="1" x14ac:dyDescent="0.25">
      <c r="D463" t="s">
        <v>90</v>
      </c>
      <c r="E463">
        <v>1421</v>
      </c>
      <c r="F463" s="17">
        <v>3.0000000000000004</v>
      </c>
      <c r="G463" s="17">
        <v>0.49775819261566751</v>
      </c>
    </row>
    <row r="464" spans="4:7" hidden="1" outlineLevel="1" x14ac:dyDescent="0.25">
      <c r="D464" t="s">
        <v>90</v>
      </c>
      <c r="E464">
        <v>1421</v>
      </c>
      <c r="F464" s="17">
        <v>3.2000000000000006</v>
      </c>
      <c r="G464" s="17">
        <v>0.49775819261566751</v>
      </c>
    </row>
    <row r="465" spans="4:7" hidden="1" outlineLevel="1" x14ac:dyDescent="0.25">
      <c r="D465" t="s">
        <v>90</v>
      </c>
      <c r="E465">
        <v>1421</v>
      </c>
      <c r="F465" s="17">
        <v>3.4000000000000008</v>
      </c>
      <c r="G465" s="17">
        <v>0.49775819261566751</v>
      </c>
    </row>
    <row r="466" spans="4:7" hidden="1" outlineLevel="1" x14ac:dyDescent="0.25">
      <c r="D466" t="s">
        <v>90</v>
      </c>
      <c r="E466">
        <v>1421</v>
      </c>
      <c r="F466" s="17">
        <v>3.600000000000001</v>
      </c>
      <c r="G466" s="17">
        <v>0.49775819261566751</v>
      </c>
    </row>
    <row r="467" spans="4:7" ht="15.75" hidden="1" customHeight="1" outlineLevel="1" x14ac:dyDescent="0.25">
      <c r="D467" t="s">
        <v>90</v>
      </c>
      <c r="E467">
        <v>1421</v>
      </c>
      <c r="F467" s="17">
        <v>3.8000000000000012</v>
      </c>
      <c r="G467" s="17">
        <v>0.49775819261566751</v>
      </c>
    </row>
    <row r="468" spans="4:7" hidden="1" outlineLevel="1" x14ac:dyDescent="0.25">
      <c r="D468" t="s">
        <v>90</v>
      </c>
      <c r="E468">
        <v>1421</v>
      </c>
      <c r="F468" s="17">
        <v>4.0000000000000009</v>
      </c>
      <c r="G468" s="17">
        <v>0.49775819261566751</v>
      </c>
    </row>
    <row r="469" spans="4:7" collapsed="1" x14ac:dyDescent="0.25"/>
    <row r="470" spans="4:7" x14ac:dyDescent="0.25">
      <c r="D470" s="13" t="s">
        <v>91</v>
      </c>
      <c r="E470" s="13">
        <v>1422</v>
      </c>
      <c r="F470" s="13" t="s">
        <v>55</v>
      </c>
      <c r="G470" s="13" t="s">
        <v>50</v>
      </c>
    </row>
    <row r="471" spans="4:7" ht="14.25" hidden="1" customHeight="1" outlineLevel="1" x14ac:dyDescent="0.25">
      <c r="D471" t="s">
        <v>91</v>
      </c>
      <c r="E471">
        <v>1422</v>
      </c>
      <c r="F471" s="17">
        <v>0</v>
      </c>
      <c r="G471" s="17">
        <v>0</v>
      </c>
    </row>
    <row r="472" spans="4:7" hidden="1" outlineLevel="1" x14ac:dyDescent="0.25">
      <c r="D472" t="s">
        <v>91</v>
      </c>
      <c r="E472">
        <v>1422</v>
      </c>
      <c r="F472" s="17">
        <v>0.2</v>
      </c>
      <c r="G472" s="17">
        <v>9.2017520004447143E-2</v>
      </c>
    </row>
    <row r="473" spans="4:7" hidden="1" outlineLevel="1" x14ac:dyDescent="0.25">
      <c r="D473" t="s">
        <v>91</v>
      </c>
      <c r="E473">
        <v>1422</v>
      </c>
      <c r="F473" s="17">
        <v>0.4</v>
      </c>
      <c r="G473" s="17">
        <v>0.1630143984203356</v>
      </c>
    </row>
    <row r="474" spans="4:7" hidden="1" outlineLevel="1" x14ac:dyDescent="0.25">
      <c r="D474" t="s">
        <v>91</v>
      </c>
      <c r="E474">
        <v>1422</v>
      </c>
      <c r="F474" s="17">
        <v>0.60000000000000009</v>
      </c>
      <c r="G474" s="17">
        <v>0.20248031445338613</v>
      </c>
    </row>
    <row r="475" spans="4:7" hidden="1" outlineLevel="1" x14ac:dyDescent="0.25">
      <c r="D475" t="s">
        <v>91</v>
      </c>
      <c r="E475">
        <v>1422</v>
      </c>
      <c r="F475" s="17">
        <v>0.8</v>
      </c>
      <c r="G475" s="17">
        <v>0.25245655128071592</v>
      </c>
    </row>
    <row r="476" spans="4:7" hidden="1" outlineLevel="1" x14ac:dyDescent="0.25">
      <c r="D476" t="s">
        <v>91</v>
      </c>
      <c r="E476">
        <v>1422</v>
      </c>
      <c r="F476" s="17">
        <v>1</v>
      </c>
      <c r="G476" s="17">
        <v>0.27265354585758766</v>
      </c>
    </row>
    <row r="477" spans="4:7" hidden="1" outlineLevel="1" x14ac:dyDescent="0.25">
      <c r="D477" t="s">
        <v>91</v>
      </c>
      <c r="E477">
        <v>1422</v>
      </c>
      <c r="F477" s="17">
        <v>1.2</v>
      </c>
      <c r="G477" s="17">
        <v>0.29285054043445946</v>
      </c>
    </row>
    <row r="478" spans="4:7" hidden="1" outlineLevel="1" x14ac:dyDescent="0.25">
      <c r="D478" t="s">
        <v>91</v>
      </c>
      <c r="E478">
        <v>1422</v>
      </c>
      <c r="F478" s="17">
        <v>1.4</v>
      </c>
      <c r="G478" s="17">
        <v>0.34441754098251026</v>
      </c>
    </row>
    <row r="479" spans="4:7" hidden="1" outlineLevel="1" x14ac:dyDescent="0.25">
      <c r="D479" t="s">
        <v>91</v>
      </c>
      <c r="E479">
        <v>1422</v>
      </c>
      <c r="F479" s="17">
        <v>1.5999999999999999</v>
      </c>
      <c r="G479" s="17">
        <v>0.364614535559382</v>
      </c>
    </row>
    <row r="480" spans="4:7" hidden="1" outlineLevel="1" x14ac:dyDescent="0.25">
      <c r="D480" t="s">
        <v>91</v>
      </c>
      <c r="E480">
        <v>1422</v>
      </c>
      <c r="F480" s="17">
        <v>1.7999999999999998</v>
      </c>
      <c r="G480" s="17">
        <v>0.38481153013625369</v>
      </c>
    </row>
    <row r="481" spans="4:7" hidden="1" outlineLevel="1" x14ac:dyDescent="0.25">
      <c r="D481" t="s">
        <v>91</v>
      </c>
      <c r="E481">
        <v>1422</v>
      </c>
      <c r="F481" s="17">
        <v>1.9999999999999998</v>
      </c>
      <c r="G481" s="17">
        <v>0.40500852471312543</v>
      </c>
    </row>
    <row r="482" spans="4:7" hidden="1" outlineLevel="1" x14ac:dyDescent="0.25">
      <c r="D482" t="s">
        <v>91</v>
      </c>
      <c r="E482">
        <v>1422</v>
      </c>
      <c r="F482" s="17">
        <v>2.1999999999999997</v>
      </c>
      <c r="G482" s="17">
        <v>0.42520551928999717</v>
      </c>
    </row>
    <row r="483" spans="4:7" hidden="1" outlineLevel="1" x14ac:dyDescent="0.25">
      <c r="D483" t="s">
        <v>91</v>
      </c>
      <c r="E483">
        <v>1422</v>
      </c>
      <c r="F483" s="17">
        <v>2.4</v>
      </c>
      <c r="G483" s="17">
        <v>0.46291971519066782</v>
      </c>
    </row>
    <row r="484" spans="4:7" hidden="1" outlineLevel="1" x14ac:dyDescent="0.25">
      <c r="D484" t="s">
        <v>91</v>
      </c>
      <c r="E484">
        <v>1422</v>
      </c>
      <c r="F484" s="17">
        <v>2.6</v>
      </c>
      <c r="G484" s="17">
        <v>0.57596808148927814</v>
      </c>
    </row>
    <row r="485" spans="4:7" hidden="1" outlineLevel="1" x14ac:dyDescent="0.25">
      <c r="D485" t="s">
        <v>91</v>
      </c>
      <c r="E485">
        <v>1422</v>
      </c>
      <c r="F485" s="17">
        <v>2.8000000000000003</v>
      </c>
      <c r="G485" s="17">
        <v>0.57596808148927814</v>
      </c>
    </row>
    <row r="486" spans="4:7" hidden="1" outlineLevel="1" x14ac:dyDescent="0.25">
      <c r="D486" t="s">
        <v>91</v>
      </c>
      <c r="E486">
        <v>1422</v>
      </c>
      <c r="F486" s="17">
        <v>3.0000000000000004</v>
      </c>
      <c r="G486" s="17">
        <v>0.57596808148927814</v>
      </c>
    </row>
    <row r="487" spans="4:7" hidden="1" outlineLevel="1" x14ac:dyDescent="0.25">
      <c r="D487" t="s">
        <v>91</v>
      </c>
      <c r="E487">
        <v>1422</v>
      </c>
      <c r="F487" s="17">
        <v>3.2000000000000006</v>
      </c>
      <c r="G487" s="17">
        <v>0.57596808148927814</v>
      </c>
    </row>
    <row r="488" spans="4:7" hidden="1" outlineLevel="1" x14ac:dyDescent="0.25">
      <c r="D488" t="s">
        <v>91</v>
      </c>
      <c r="E488">
        <v>1422</v>
      </c>
      <c r="F488" s="17">
        <v>3.4000000000000008</v>
      </c>
      <c r="G488" s="17">
        <v>0.57596808148927814</v>
      </c>
    </row>
    <row r="489" spans="4:7" hidden="1" outlineLevel="1" x14ac:dyDescent="0.25">
      <c r="D489" t="s">
        <v>91</v>
      </c>
      <c r="E489">
        <v>1422</v>
      </c>
      <c r="F489" s="17">
        <v>3.600000000000001</v>
      </c>
      <c r="G489" s="17">
        <v>0.57596808148927814</v>
      </c>
    </row>
    <row r="490" spans="4:7" ht="15.75" hidden="1" customHeight="1" outlineLevel="1" x14ac:dyDescent="0.25">
      <c r="D490" t="s">
        <v>91</v>
      </c>
      <c r="E490">
        <v>1422</v>
      </c>
      <c r="F490" s="17">
        <v>3.8000000000000012</v>
      </c>
      <c r="G490" s="17">
        <v>0.57596808148927814</v>
      </c>
    </row>
    <row r="491" spans="4:7" hidden="1" outlineLevel="1" x14ac:dyDescent="0.25">
      <c r="D491" t="s">
        <v>91</v>
      </c>
      <c r="E491">
        <v>1422</v>
      </c>
      <c r="F491" s="17">
        <v>4.0000000000000009</v>
      </c>
      <c r="G491" s="17">
        <v>0.57596808148927814</v>
      </c>
    </row>
    <row r="492" spans="4:7" collapsed="1" x14ac:dyDescent="0.25"/>
    <row r="493" spans="4:7" x14ac:dyDescent="0.25">
      <c r="D493" s="13" t="s">
        <v>92</v>
      </c>
      <c r="E493" s="13">
        <v>1423</v>
      </c>
      <c r="F493" s="13" t="s">
        <v>55</v>
      </c>
      <c r="G493" s="13" t="s">
        <v>50</v>
      </c>
    </row>
    <row r="494" spans="4:7" ht="14.25" hidden="1" customHeight="1" outlineLevel="1" x14ac:dyDescent="0.25">
      <c r="D494" t="s">
        <v>92</v>
      </c>
      <c r="E494">
        <v>1423</v>
      </c>
      <c r="F494" s="17">
        <v>0</v>
      </c>
      <c r="G494" s="17">
        <v>0</v>
      </c>
    </row>
    <row r="495" spans="4:7" hidden="1" outlineLevel="1" x14ac:dyDescent="0.25">
      <c r="D495" t="s">
        <v>92</v>
      </c>
      <c r="E495">
        <v>1423</v>
      </c>
      <c r="F495" s="17">
        <v>0.2</v>
      </c>
      <c r="G495" s="17">
        <v>7.6663407662944327E-2</v>
      </c>
    </row>
    <row r="496" spans="4:7" hidden="1" outlineLevel="1" x14ac:dyDescent="0.25">
      <c r="D496" t="s">
        <v>92</v>
      </c>
      <c r="E496">
        <v>1423</v>
      </c>
      <c r="F496" s="17">
        <v>0.4</v>
      </c>
      <c r="G496" s="17">
        <v>0.15332681532588865</v>
      </c>
    </row>
    <row r="497" spans="4:7" hidden="1" outlineLevel="1" x14ac:dyDescent="0.25">
      <c r="D497" t="s">
        <v>92</v>
      </c>
      <c r="E497">
        <v>1423</v>
      </c>
      <c r="F497" s="17">
        <v>0.60000000000000009</v>
      </c>
      <c r="G497" s="17">
        <v>0.19470900049551548</v>
      </c>
    </row>
    <row r="498" spans="4:7" hidden="1" outlineLevel="1" x14ac:dyDescent="0.25">
      <c r="D498" t="s">
        <v>92</v>
      </c>
      <c r="E498">
        <v>1423</v>
      </c>
      <c r="F498" s="17">
        <v>0.8</v>
      </c>
      <c r="G498" s="17">
        <v>0.24785159316291483</v>
      </c>
    </row>
    <row r="499" spans="4:7" hidden="1" outlineLevel="1" x14ac:dyDescent="0.25">
      <c r="D499" t="s">
        <v>92</v>
      </c>
      <c r="E499">
        <v>1423</v>
      </c>
      <c r="F499" s="17">
        <v>1</v>
      </c>
      <c r="G499" s="17">
        <v>0.26767303125329206</v>
      </c>
    </row>
    <row r="500" spans="4:7" hidden="1" outlineLevel="1" x14ac:dyDescent="0.25">
      <c r="D500" t="s">
        <v>92</v>
      </c>
      <c r="E500">
        <v>1423</v>
      </c>
      <c r="F500" s="17">
        <v>1.2</v>
      </c>
      <c r="G500" s="17">
        <v>0.2874944693436694</v>
      </c>
    </row>
    <row r="501" spans="4:7" hidden="1" outlineLevel="1" x14ac:dyDescent="0.25">
      <c r="D501" t="s">
        <v>92</v>
      </c>
      <c r="E501">
        <v>1423</v>
      </c>
      <c r="F501" s="17">
        <v>1.4</v>
      </c>
      <c r="G501" s="17">
        <v>0.33769286336932186</v>
      </c>
    </row>
    <row r="502" spans="4:7" hidden="1" outlineLevel="1" x14ac:dyDescent="0.25">
      <c r="D502" t="s">
        <v>92</v>
      </c>
      <c r="E502">
        <v>1423</v>
      </c>
      <c r="F502" s="17">
        <v>1.5999999999999999</v>
      </c>
      <c r="G502" s="17">
        <v>0.35751430145969909</v>
      </c>
    </row>
    <row r="503" spans="4:7" hidden="1" outlineLevel="1" x14ac:dyDescent="0.25">
      <c r="D503" t="s">
        <v>92</v>
      </c>
      <c r="E503">
        <v>1423</v>
      </c>
      <c r="F503" s="17">
        <v>1.7999999999999998</v>
      </c>
      <c r="G503" s="17">
        <v>0.37733573955007638</v>
      </c>
    </row>
    <row r="504" spans="4:7" hidden="1" outlineLevel="1" x14ac:dyDescent="0.25">
      <c r="D504" t="s">
        <v>92</v>
      </c>
      <c r="E504">
        <v>1423</v>
      </c>
      <c r="F504" s="17">
        <v>1.9999999999999998</v>
      </c>
      <c r="G504" s="17">
        <v>0.39715717764045361</v>
      </c>
    </row>
    <row r="505" spans="4:7" hidden="1" outlineLevel="1" x14ac:dyDescent="0.25">
      <c r="D505" t="s">
        <v>92</v>
      </c>
      <c r="E505">
        <v>1423</v>
      </c>
      <c r="F505" s="17">
        <v>2.1999999999999997</v>
      </c>
      <c r="G505" s="17">
        <v>0.41697861573083084</v>
      </c>
    </row>
    <row r="506" spans="4:7" hidden="1" outlineLevel="1" x14ac:dyDescent="0.25">
      <c r="D506" t="s">
        <v>92</v>
      </c>
      <c r="E506">
        <v>1423</v>
      </c>
      <c r="F506" s="17">
        <v>2.4</v>
      </c>
      <c r="G506" s="17">
        <v>0.47992154797970721</v>
      </c>
    </row>
    <row r="507" spans="4:7" hidden="1" outlineLevel="1" x14ac:dyDescent="0.25">
      <c r="D507" t="s">
        <v>92</v>
      </c>
      <c r="E507">
        <v>1423</v>
      </c>
      <c r="F507" s="17">
        <v>2.6</v>
      </c>
      <c r="G507" s="17">
        <v>0.58939125113382074</v>
      </c>
    </row>
    <row r="508" spans="4:7" hidden="1" outlineLevel="1" x14ac:dyDescent="0.25">
      <c r="D508" t="s">
        <v>92</v>
      </c>
      <c r="E508">
        <v>1423</v>
      </c>
      <c r="F508" s="17">
        <v>2.8000000000000003</v>
      </c>
      <c r="G508" s="17">
        <v>0.58939125113382074</v>
      </c>
    </row>
    <row r="509" spans="4:7" hidden="1" outlineLevel="1" x14ac:dyDescent="0.25">
      <c r="D509" t="s">
        <v>92</v>
      </c>
      <c r="E509">
        <v>1423</v>
      </c>
      <c r="F509" s="17">
        <v>3.0000000000000004</v>
      </c>
      <c r="G509" s="17">
        <v>0.58939125113382074</v>
      </c>
    </row>
    <row r="510" spans="4:7" hidden="1" outlineLevel="1" x14ac:dyDescent="0.25">
      <c r="D510" t="s">
        <v>92</v>
      </c>
      <c r="E510">
        <v>1423</v>
      </c>
      <c r="F510" s="17">
        <v>3.2000000000000006</v>
      </c>
      <c r="G510" s="17">
        <v>0.58939125113382074</v>
      </c>
    </row>
    <row r="511" spans="4:7" hidden="1" outlineLevel="1" x14ac:dyDescent="0.25">
      <c r="D511" t="s">
        <v>92</v>
      </c>
      <c r="E511">
        <v>1423</v>
      </c>
      <c r="F511" s="17">
        <v>3.4000000000000008</v>
      </c>
      <c r="G511" s="17">
        <v>0.58939125113382074</v>
      </c>
    </row>
    <row r="512" spans="4:7" hidden="1" outlineLevel="1" x14ac:dyDescent="0.25">
      <c r="D512" t="s">
        <v>92</v>
      </c>
      <c r="E512">
        <v>1423</v>
      </c>
      <c r="F512" s="17">
        <v>3.600000000000001</v>
      </c>
      <c r="G512" s="17">
        <v>0.58939125113382074</v>
      </c>
    </row>
    <row r="513" spans="4:7" ht="15.75" hidden="1" customHeight="1" outlineLevel="1" x14ac:dyDescent="0.25">
      <c r="D513" t="s">
        <v>92</v>
      </c>
      <c r="E513">
        <v>1423</v>
      </c>
      <c r="F513" s="17">
        <v>3.8000000000000012</v>
      </c>
      <c r="G513" s="17">
        <v>0.58939125113382074</v>
      </c>
    </row>
    <row r="514" spans="4:7" hidden="1" outlineLevel="1" x14ac:dyDescent="0.25">
      <c r="D514" t="s">
        <v>92</v>
      </c>
      <c r="E514">
        <v>1423</v>
      </c>
      <c r="F514" s="17">
        <v>4.0000000000000009</v>
      </c>
      <c r="G514" s="17">
        <v>0.58939125113382074</v>
      </c>
    </row>
    <row r="515" spans="4:7" collapsed="1" x14ac:dyDescent="0.25"/>
    <row r="516" spans="4:7" x14ac:dyDescent="0.25">
      <c r="D516" s="13" t="s">
        <v>93</v>
      </c>
      <c r="E516" s="13">
        <v>1424</v>
      </c>
      <c r="F516" s="13" t="s">
        <v>55</v>
      </c>
      <c r="G516" s="13" t="s">
        <v>50</v>
      </c>
    </row>
    <row r="517" spans="4:7" ht="14.25" hidden="1" customHeight="1" outlineLevel="1" x14ac:dyDescent="0.25">
      <c r="D517" t="s">
        <v>93</v>
      </c>
      <c r="E517">
        <v>1424</v>
      </c>
      <c r="F517" s="17">
        <v>0</v>
      </c>
      <c r="G517" s="17">
        <v>0</v>
      </c>
    </row>
    <row r="518" spans="4:7" hidden="1" outlineLevel="1" x14ac:dyDescent="0.25">
      <c r="D518" t="s">
        <v>93</v>
      </c>
      <c r="E518">
        <v>1424</v>
      </c>
      <c r="F518" s="17">
        <v>0.2</v>
      </c>
      <c r="G518" s="17">
        <v>0.33247255882588567</v>
      </c>
    </row>
    <row r="519" spans="4:7" hidden="1" outlineLevel="1" x14ac:dyDescent="0.25">
      <c r="D519" t="s">
        <v>93</v>
      </c>
      <c r="E519">
        <v>1424</v>
      </c>
      <c r="F519" s="17">
        <v>0.4</v>
      </c>
      <c r="G519" s="17">
        <v>0.54183809140140549</v>
      </c>
    </row>
    <row r="520" spans="4:7" hidden="1" outlineLevel="1" x14ac:dyDescent="0.25">
      <c r="D520" t="s">
        <v>93</v>
      </c>
      <c r="E520">
        <v>1424</v>
      </c>
      <c r="F520" s="17">
        <v>0.60000000000000009</v>
      </c>
      <c r="G520" s="17">
        <v>0.62809659772655957</v>
      </c>
    </row>
    <row r="521" spans="4:7" hidden="1" outlineLevel="1" x14ac:dyDescent="0.25">
      <c r="D521" t="s">
        <v>93</v>
      </c>
      <c r="E521">
        <v>1424</v>
      </c>
      <c r="F521" s="17">
        <v>0.8</v>
      </c>
      <c r="G521" s="17">
        <v>0.75539077946850208</v>
      </c>
    </row>
    <row r="522" spans="4:7" hidden="1" outlineLevel="1" x14ac:dyDescent="0.25">
      <c r="D522" t="s">
        <v>93</v>
      </c>
      <c r="E522">
        <v>1424</v>
      </c>
      <c r="F522" s="17">
        <v>1</v>
      </c>
      <c r="G522" s="17">
        <v>0.76641721419621045</v>
      </c>
    </row>
    <row r="523" spans="4:7" hidden="1" outlineLevel="1" x14ac:dyDescent="0.25">
      <c r="D523" t="s">
        <v>93</v>
      </c>
      <c r="E523">
        <v>1424</v>
      </c>
      <c r="F523" s="17">
        <v>1.2</v>
      </c>
      <c r="G523" s="17">
        <v>0.77744364892391871</v>
      </c>
    </row>
    <row r="524" spans="4:7" hidden="1" outlineLevel="1" x14ac:dyDescent="0.25">
      <c r="D524" t="s">
        <v>93</v>
      </c>
      <c r="E524">
        <v>1424</v>
      </c>
      <c r="F524" s="17">
        <v>1.4</v>
      </c>
      <c r="G524" s="17">
        <v>0.79559120798991212</v>
      </c>
    </row>
    <row r="525" spans="4:7" hidden="1" outlineLevel="1" x14ac:dyDescent="0.25">
      <c r="D525" t="s">
        <v>93</v>
      </c>
      <c r="E525">
        <v>1424</v>
      </c>
      <c r="F525" s="17">
        <v>1.5999999999999999</v>
      </c>
      <c r="G525" s="17">
        <v>0.80661764271762015</v>
      </c>
    </row>
    <row r="526" spans="4:7" hidden="1" outlineLevel="1" x14ac:dyDescent="0.25">
      <c r="D526" t="s">
        <v>93</v>
      </c>
      <c r="E526">
        <v>1424</v>
      </c>
      <c r="F526" s="17">
        <v>1.7999999999999998</v>
      </c>
      <c r="G526" s="17">
        <v>0.81764407744532863</v>
      </c>
    </row>
    <row r="527" spans="4:7" hidden="1" outlineLevel="1" x14ac:dyDescent="0.25">
      <c r="D527" t="s">
        <v>93</v>
      </c>
      <c r="E527">
        <v>1424</v>
      </c>
      <c r="F527" s="17">
        <v>1.9999999999999998</v>
      </c>
      <c r="G527" s="17">
        <v>0.82867051217303667</v>
      </c>
    </row>
    <row r="528" spans="4:7" hidden="1" outlineLevel="1" x14ac:dyDescent="0.25">
      <c r="D528" t="s">
        <v>93</v>
      </c>
      <c r="E528">
        <v>1424</v>
      </c>
      <c r="F528" s="17">
        <v>2.1999999999999997</v>
      </c>
      <c r="G528" s="17">
        <v>0.8396969469007447</v>
      </c>
    </row>
    <row r="529" spans="4:7" hidden="1" outlineLevel="1" x14ac:dyDescent="0.25">
      <c r="D529" t="s">
        <v>93</v>
      </c>
      <c r="E529">
        <v>1424</v>
      </c>
      <c r="F529" s="17">
        <v>2.4</v>
      </c>
      <c r="G529" s="17">
        <v>0.87808049857297887</v>
      </c>
    </row>
    <row r="530" spans="4:7" hidden="1" outlineLevel="1" x14ac:dyDescent="0.25">
      <c r="D530" t="s">
        <v>93</v>
      </c>
      <c r="E530">
        <v>1424</v>
      </c>
      <c r="F530" s="17">
        <v>2.6</v>
      </c>
      <c r="G530" s="17">
        <v>0.90374295695414764</v>
      </c>
    </row>
    <row r="531" spans="4:7" hidden="1" outlineLevel="1" x14ac:dyDescent="0.25">
      <c r="D531" t="s">
        <v>93</v>
      </c>
      <c r="E531">
        <v>1424</v>
      </c>
      <c r="F531" s="17">
        <v>2.8000000000000003</v>
      </c>
      <c r="G531" s="17">
        <v>0.90374295695414764</v>
      </c>
    </row>
    <row r="532" spans="4:7" hidden="1" outlineLevel="1" x14ac:dyDescent="0.25">
      <c r="D532" t="s">
        <v>93</v>
      </c>
      <c r="E532">
        <v>1424</v>
      </c>
      <c r="F532" s="17">
        <v>3.0000000000000004</v>
      </c>
      <c r="G532" s="17">
        <v>0.90374295695414764</v>
      </c>
    </row>
    <row r="533" spans="4:7" hidden="1" outlineLevel="1" x14ac:dyDescent="0.25">
      <c r="D533" t="s">
        <v>93</v>
      </c>
      <c r="E533">
        <v>1424</v>
      </c>
      <c r="F533" s="17">
        <v>3.2000000000000006</v>
      </c>
      <c r="G533" s="17">
        <v>0.90374295695414764</v>
      </c>
    </row>
    <row r="534" spans="4:7" hidden="1" outlineLevel="1" x14ac:dyDescent="0.25">
      <c r="D534" t="s">
        <v>93</v>
      </c>
      <c r="E534">
        <v>1424</v>
      </c>
      <c r="F534" s="17">
        <v>3.4000000000000008</v>
      </c>
      <c r="G534" s="17">
        <v>0.90374295695414764</v>
      </c>
    </row>
    <row r="535" spans="4:7" hidden="1" outlineLevel="1" x14ac:dyDescent="0.25">
      <c r="D535" t="s">
        <v>93</v>
      </c>
      <c r="E535">
        <v>1424</v>
      </c>
      <c r="F535" s="17">
        <v>3.600000000000001</v>
      </c>
      <c r="G535" s="17">
        <v>0.90374295695414764</v>
      </c>
    </row>
    <row r="536" spans="4:7" ht="15.75" hidden="1" customHeight="1" outlineLevel="1" x14ac:dyDescent="0.25">
      <c r="D536" t="s">
        <v>93</v>
      </c>
      <c r="E536">
        <v>1424</v>
      </c>
      <c r="F536" s="17">
        <v>3.8000000000000012</v>
      </c>
      <c r="G536" s="17">
        <v>0.90374295695414764</v>
      </c>
    </row>
    <row r="537" spans="4:7" hidden="1" outlineLevel="1" x14ac:dyDescent="0.25">
      <c r="D537" t="s">
        <v>93</v>
      </c>
      <c r="E537">
        <v>1424</v>
      </c>
      <c r="F537" s="17">
        <v>4.0000000000000009</v>
      </c>
      <c r="G537" s="17">
        <v>0.90374295695414764</v>
      </c>
    </row>
    <row r="538" spans="4:7" collapsed="1" x14ac:dyDescent="0.25"/>
    <row r="539" spans="4:7" x14ac:dyDescent="0.25">
      <c r="D539" s="13" t="s">
        <v>94</v>
      </c>
      <c r="E539" s="13">
        <v>1425</v>
      </c>
      <c r="F539" s="13" t="s">
        <v>55</v>
      </c>
      <c r="G539" s="13" t="s">
        <v>50</v>
      </c>
    </row>
    <row r="540" spans="4:7" ht="14.25" hidden="1" customHeight="1" outlineLevel="1" x14ac:dyDescent="0.25">
      <c r="D540" t="s">
        <v>94</v>
      </c>
      <c r="E540">
        <v>1425</v>
      </c>
      <c r="F540" s="17">
        <v>0</v>
      </c>
      <c r="G540" s="17">
        <v>0</v>
      </c>
    </row>
    <row r="541" spans="4:7" hidden="1" outlineLevel="1" x14ac:dyDescent="0.25">
      <c r="D541" t="s">
        <v>94</v>
      </c>
      <c r="E541">
        <v>1425</v>
      </c>
      <c r="F541" s="17">
        <v>0.2</v>
      </c>
      <c r="G541" s="17">
        <v>6.3788749865844097E-2</v>
      </c>
    </row>
    <row r="542" spans="4:7" hidden="1" outlineLevel="1" x14ac:dyDescent="0.25">
      <c r="D542" t="s">
        <v>94</v>
      </c>
      <c r="E542">
        <v>1425</v>
      </c>
      <c r="F542" s="17">
        <v>0.4</v>
      </c>
      <c r="G542" s="17">
        <v>0.12757749973168819</v>
      </c>
    </row>
    <row r="543" spans="4:7" hidden="1" outlineLevel="1" x14ac:dyDescent="0.25">
      <c r="D543" t="s">
        <v>94</v>
      </c>
      <c r="E543">
        <v>1425</v>
      </c>
      <c r="F543" s="17">
        <v>0.60000000000000009</v>
      </c>
      <c r="G543" s="17">
        <v>0.1646058188388777</v>
      </c>
    </row>
    <row r="544" spans="4:7" hidden="1" outlineLevel="1" x14ac:dyDescent="0.25">
      <c r="D544" t="s">
        <v>94</v>
      </c>
      <c r="E544">
        <v>1425</v>
      </c>
      <c r="F544" s="17">
        <v>0.8</v>
      </c>
      <c r="G544" s="17">
        <v>0.21055428153228539</v>
      </c>
    </row>
    <row r="545" spans="4:7" hidden="1" outlineLevel="1" x14ac:dyDescent="0.25">
      <c r="D545" t="s">
        <v>94</v>
      </c>
      <c r="E545">
        <v>1425</v>
      </c>
      <c r="F545" s="17">
        <v>1</v>
      </c>
      <c r="G545" s="17">
        <v>0.23122900406474156</v>
      </c>
    </row>
    <row r="546" spans="4:7" hidden="1" outlineLevel="1" x14ac:dyDescent="0.25">
      <c r="D546" t="s">
        <v>94</v>
      </c>
      <c r="E546">
        <v>1425</v>
      </c>
      <c r="F546" s="17">
        <v>1.2</v>
      </c>
      <c r="G546" s="17">
        <v>0.25190372659719773</v>
      </c>
    </row>
    <row r="547" spans="4:7" hidden="1" outlineLevel="1" x14ac:dyDescent="0.25">
      <c r="D547" t="s">
        <v>94</v>
      </c>
      <c r="E547">
        <v>1425</v>
      </c>
      <c r="F547" s="17">
        <v>1.4</v>
      </c>
      <c r="G547" s="17">
        <v>0.30521166790770943</v>
      </c>
    </row>
    <row r="548" spans="4:7" hidden="1" outlineLevel="1" x14ac:dyDescent="0.25">
      <c r="D548" t="s">
        <v>94</v>
      </c>
      <c r="E548">
        <v>1425</v>
      </c>
      <c r="F548" s="17">
        <v>1.5999999999999999</v>
      </c>
      <c r="G548" s="17">
        <v>0.3258863904401656</v>
      </c>
    </row>
    <row r="549" spans="4:7" hidden="1" outlineLevel="1" x14ac:dyDescent="0.25">
      <c r="D549" t="s">
        <v>94</v>
      </c>
      <c r="E549">
        <v>1425</v>
      </c>
      <c r="F549" s="17">
        <v>1.7999999999999998</v>
      </c>
      <c r="G549" s="17">
        <v>0.34656111297262177</v>
      </c>
    </row>
    <row r="550" spans="4:7" hidden="1" outlineLevel="1" x14ac:dyDescent="0.25">
      <c r="D550" t="s">
        <v>94</v>
      </c>
      <c r="E550">
        <v>1425</v>
      </c>
      <c r="F550" s="17">
        <v>1.9999999999999998</v>
      </c>
      <c r="G550" s="17">
        <v>0.36723583550507782</v>
      </c>
    </row>
    <row r="551" spans="4:7" hidden="1" outlineLevel="1" x14ac:dyDescent="0.25">
      <c r="D551" t="s">
        <v>94</v>
      </c>
      <c r="E551">
        <v>1425</v>
      </c>
      <c r="F551" s="17">
        <v>2.1999999999999997</v>
      </c>
      <c r="G551" s="17">
        <v>0.38791055803753399</v>
      </c>
    </row>
    <row r="552" spans="4:7" hidden="1" outlineLevel="1" x14ac:dyDescent="0.25">
      <c r="D552" t="s">
        <v>94</v>
      </c>
      <c r="E552">
        <v>1425</v>
      </c>
      <c r="F552" s="17">
        <v>2.4</v>
      </c>
      <c r="G552" s="17">
        <v>0.44129247371945685</v>
      </c>
    </row>
    <row r="553" spans="4:7" hidden="1" outlineLevel="1" x14ac:dyDescent="0.25">
      <c r="D553" t="s">
        <v>94</v>
      </c>
      <c r="E553">
        <v>1425</v>
      </c>
      <c r="F553" s="17">
        <v>2.6</v>
      </c>
      <c r="G553" s="17">
        <v>0.55889309111537544</v>
      </c>
    </row>
    <row r="554" spans="4:7" hidden="1" outlineLevel="1" x14ac:dyDescent="0.25">
      <c r="D554" t="s">
        <v>94</v>
      </c>
      <c r="E554">
        <v>1425</v>
      </c>
      <c r="F554" s="17">
        <v>2.8000000000000003</v>
      </c>
      <c r="G554" s="17">
        <v>0.55889309111537544</v>
      </c>
    </row>
    <row r="555" spans="4:7" hidden="1" outlineLevel="1" x14ac:dyDescent="0.25">
      <c r="D555" t="s">
        <v>94</v>
      </c>
      <c r="E555">
        <v>1425</v>
      </c>
      <c r="F555" s="17">
        <v>3.0000000000000004</v>
      </c>
      <c r="G555" s="17">
        <v>0.55889309111537544</v>
      </c>
    </row>
    <row r="556" spans="4:7" hidden="1" outlineLevel="1" x14ac:dyDescent="0.25">
      <c r="D556" t="s">
        <v>94</v>
      </c>
      <c r="E556">
        <v>1425</v>
      </c>
      <c r="F556" s="17">
        <v>3.2000000000000006</v>
      </c>
      <c r="G556" s="17">
        <v>0.55889309111537544</v>
      </c>
    </row>
    <row r="557" spans="4:7" hidden="1" outlineLevel="1" x14ac:dyDescent="0.25">
      <c r="D557" t="s">
        <v>94</v>
      </c>
      <c r="E557">
        <v>1425</v>
      </c>
      <c r="F557" s="17">
        <v>3.4000000000000008</v>
      </c>
      <c r="G557" s="17">
        <v>0.55889309111537544</v>
      </c>
    </row>
    <row r="558" spans="4:7" hidden="1" outlineLevel="1" x14ac:dyDescent="0.25">
      <c r="D558" t="s">
        <v>94</v>
      </c>
      <c r="E558">
        <v>1425</v>
      </c>
      <c r="F558" s="17">
        <v>3.600000000000001</v>
      </c>
      <c r="G558" s="17">
        <v>0.55889309111537544</v>
      </c>
    </row>
    <row r="559" spans="4:7" ht="15.75" hidden="1" customHeight="1" outlineLevel="1" x14ac:dyDescent="0.25">
      <c r="D559" t="s">
        <v>94</v>
      </c>
      <c r="E559">
        <v>1425</v>
      </c>
      <c r="F559" s="17">
        <v>3.8000000000000012</v>
      </c>
      <c r="G559" s="17">
        <v>0.55889309111537544</v>
      </c>
    </row>
    <row r="560" spans="4:7" hidden="1" outlineLevel="1" x14ac:dyDescent="0.25">
      <c r="D560" t="s">
        <v>94</v>
      </c>
      <c r="E560">
        <v>1425</v>
      </c>
      <c r="F560" s="17">
        <v>4.0000000000000009</v>
      </c>
      <c r="G560" s="17">
        <v>0.55889309111537544</v>
      </c>
    </row>
    <row r="561" spans="4:7" collapsed="1" x14ac:dyDescent="0.25"/>
    <row r="562" spans="4:7" x14ac:dyDescent="0.25">
      <c r="D562" s="13" t="s">
        <v>95</v>
      </c>
      <c r="E562" s="13">
        <v>1430</v>
      </c>
      <c r="F562" s="13" t="s">
        <v>55</v>
      </c>
      <c r="G562" s="13" t="s">
        <v>48</v>
      </c>
    </row>
    <row r="563" spans="4:7" ht="14.25" hidden="1" customHeight="1" outlineLevel="1" x14ac:dyDescent="0.25">
      <c r="D563" t="s">
        <v>95</v>
      </c>
      <c r="E563">
        <v>1430</v>
      </c>
      <c r="F563" s="17">
        <v>0</v>
      </c>
      <c r="G563" s="17">
        <v>0</v>
      </c>
    </row>
    <row r="564" spans="4:7" hidden="1" outlineLevel="1" x14ac:dyDescent="0.25">
      <c r="D564" t="s">
        <v>95</v>
      </c>
      <c r="E564">
        <v>1430</v>
      </c>
      <c r="F564" s="17">
        <v>0.2</v>
      </c>
      <c r="G564" s="17">
        <v>5.2021842571945288E-2</v>
      </c>
    </row>
    <row r="565" spans="4:7" hidden="1" outlineLevel="1" x14ac:dyDescent="0.25">
      <c r="D565" t="s">
        <v>95</v>
      </c>
      <c r="E565">
        <v>1430</v>
      </c>
      <c r="F565" s="17">
        <v>0.4</v>
      </c>
      <c r="G565" s="17">
        <v>0.10404368514389058</v>
      </c>
    </row>
    <row r="566" spans="4:7" hidden="1" outlineLevel="1" x14ac:dyDescent="0.25">
      <c r="D566" t="s">
        <v>95</v>
      </c>
      <c r="E566">
        <v>1430</v>
      </c>
      <c r="F566" s="17">
        <v>0.60000000000000009</v>
      </c>
      <c r="G566" s="17">
        <v>0.15606552771583587</v>
      </c>
    </row>
    <row r="567" spans="4:7" hidden="1" outlineLevel="1" x14ac:dyDescent="0.25">
      <c r="D567" t="s">
        <v>95</v>
      </c>
      <c r="E567">
        <v>1430</v>
      </c>
      <c r="F567" s="17">
        <v>0.8</v>
      </c>
      <c r="G567" s="17">
        <v>0.20808737028778115</v>
      </c>
    </row>
    <row r="568" spans="4:7" hidden="1" outlineLevel="1" x14ac:dyDescent="0.25">
      <c r="D568" t="s">
        <v>95</v>
      </c>
      <c r="E568">
        <v>1430</v>
      </c>
      <c r="F568" s="17">
        <v>1</v>
      </c>
      <c r="G568" s="17">
        <v>0.26010921285972649</v>
      </c>
    </row>
    <row r="569" spans="4:7" hidden="1" outlineLevel="1" x14ac:dyDescent="0.25">
      <c r="D569" t="s">
        <v>95</v>
      </c>
      <c r="E569">
        <v>1430</v>
      </c>
      <c r="F569" s="17">
        <v>1.2</v>
      </c>
      <c r="G569" s="17">
        <v>0.31213105543167174</v>
      </c>
    </row>
    <row r="570" spans="4:7" hidden="1" outlineLevel="1" x14ac:dyDescent="0.25">
      <c r="D570" t="s">
        <v>95</v>
      </c>
      <c r="E570">
        <v>1430</v>
      </c>
      <c r="F570" s="17">
        <v>1.4</v>
      </c>
      <c r="G570" s="17">
        <v>0.36415289800361705</v>
      </c>
    </row>
    <row r="571" spans="4:7" hidden="1" outlineLevel="1" x14ac:dyDescent="0.25">
      <c r="D571" t="s">
        <v>95</v>
      </c>
      <c r="E571">
        <v>1430</v>
      </c>
      <c r="F571" s="17">
        <v>1.5999999999999999</v>
      </c>
      <c r="G571" s="17">
        <v>0.41617474057556231</v>
      </c>
    </row>
    <row r="572" spans="4:7" hidden="1" outlineLevel="1" x14ac:dyDescent="0.25">
      <c r="D572" t="s">
        <v>95</v>
      </c>
      <c r="E572">
        <v>1430</v>
      </c>
      <c r="F572" s="17">
        <v>1.7999999999999998</v>
      </c>
      <c r="G572" s="17">
        <v>0.46819658314750767</v>
      </c>
    </row>
    <row r="573" spans="4:7" hidden="1" outlineLevel="1" x14ac:dyDescent="0.25">
      <c r="D573" t="s">
        <v>95</v>
      </c>
      <c r="E573">
        <v>1430</v>
      </c>
      <c r="F573" s="17">
        <v>1.9999999999999998</v>
      </c>
      <c r="G573" s="17">
        <v>0.52021842571945298</v>
      </c>
    </row>
    <row r="574" spans="4:7" hidden="1" outlineLevel="1" x14ac:dyDescent="0.25">
      <c r="D574" t="s">
        <v>95</v>
      </c>
      <c r="E574">
        <v>1430</v>
      </c>
      <c r="F574" s="17">
        <v>2.1999999999999997</v>
      </c>
      <c r="G574" s="17">
        <v>0.57224026829139818</v>
      </c>
    </row>
    <row r="575" spans="4:7" hidden="1" outlineLevel="1" x14ac:dyDescent="0.25">
      <c r="D575" t="s">
        <v>95</v>
      </c>
      <c r="E575">
        <v>1430</v>
      </c>
      <c r="F575" s="17">
        <v>2.4</v>
      </c>
      <c r="G575" s="17">
        <v>0.62426211086334349</v>
      </c>
    </row>
    <row r="576" spans="4:7" hidden="1" outlineLevel="1" x14ac:dyDescent="0.25">
      <c r="D576" t="s">
        <v>95</v>
      </c>
      <c r="E576">
        <v>1430</v>
      </c>
      <c r="F576" s="17">
        <v>2.6</v>
      </c>
      <c r="G576" s="17">
        <v>0.97233508331431184</v>
      </c>
    </row>
    <row r="577" spans="4:7" hidden="1" outlineLevel="1" x14ac:dyDescent="0.25">
      <c r="D577" t="s">
        <v>95</v>
      </c>
      <c r="E577">
        <v>1430</v>
      </c>
      <c r="F577" s="17">
        <v>2.8000000000000003</v>
      </c>
      <c r="G577" s="17">
        <v>0.97233508331431184</v>
      </c>
    </row>
    <row r="578" spans="4:7" hidden="1" outlineLevel="1" x14ac:dyDescent="0.25">
      <c r="D578" t="s">
        <v>95</v>
      </c>
      <c r="E578">
        <v>1430</v>
      </c>
      <c r="F578" s="17">
        <v>3.0000000000000004</v>
      </c>
      <c r="G578" s="17">
        <v>0.97233508331431184</v>
      </c>
    </row>
    <row r="579" spans="4:7" hidden="1" outlineLevel="1" x14ac:dyDescent="0.25">
      <c r="D579" t="s">
        <v>95</v>
      </c>
      <c r="E579">
        <v>1430</v>
      </c>
      <c r="F579" s="17">
        <v>3.2000000000000006</v>
      </c>
      <c r="G579" s="17">
        <v>0.97233508331431184</v>
      </c>
    </row>
    <row r="580" spans="4:7" hidden="1" outlineLevel="1" x14ac:dyDescent="0.25">
      <c r="D580" t="s">
        <v>95</v>
      </c>
      <c r="E580">
        <v>1430</v>
      </c>
      <c r="F580" s="17">
        <v>3.4000000000000008</v>
      </c>
      <c r="G580" s="17">
        <v>0.97233508331431184</v>
      </c>
    </row>
    <row r="581" spans="4:7" hidden="1" outlineLevel="1" x14ac:dyDescent="0.25">
      <c r="D581" t="s">
        <v>95</v>
      </c>
      <c r="E581">
        <v>1430</v>
      </c>
      <c r="F581" s="17">
        <v>3.600000000000001</v>
      </c>
      <c r="G581" s="17">
        <v>0.97233508331431184</v>
      </c>
    </row>
    <row r="582" spans="4:7" hidden="1" outlineLevel="1" x14ac:dyDescent="0.25">
      <c r="D582" t="s">
        <v>95</v>
      </c>
      <c r="E582">
        <v>1430</v>
      </c>
      <c r="F582" s="17">
        <v>3.8000000000000012</v>
      </c>
      <c r="G582" s="17">
        <v>0.97233508331431184</v>
      </c>
    </row>
    <row r="583" spans="4:7" hidden="1" outlineLevel="1" x14ac:dyDescent="0.25">
      <c r="D583" t="s">
        <v>95</v>
      </c>
      <c r="E583">
        <v>1430</v>
      </c>
      <c r="F583" s="17">
        <v>4.0000000000000009</v>
      </c>
      <c r="G583" s="17">
        <v>0.97233508331431184</v>
      </c>
    </row>
    <row r="584" spans="4:7" collapsed="1" x14ac:dyDescent="0.25"/>
    <row r="585" spans="4:7" x14ac:dyDescent="0.25">
      <c r="D585" s="13" t="s">
        <v>96</v>
      </c>
      <c r="E585" s="13">
        <v>1431</v>
      </c>
      <c r="F585" s="13" t="s">
        <v>55</v>
      </c>
      <c r="G585" s="13" t="s">
        <v>49</v>
      </c>
    </row>
    <row r="586" spans="4:7" ht="14.25" hidden="1" customHeight="1" outlineLevel="1" x14ac:dyDescent="0.25">
      <c r="D586" t="s">
        <v>96</v>
      </c>
      <c r="E586">
        <v>1431</v>
      </c>
      <c r="F586" s="17">
        <v>0</v>
      </c>
      <c r="G586" s="17">
        <v>0</v>
      </c>
    </row>
    <row r="587" spans="4:7" hidden="1" outlineLevel="1" x14ac:dyDescent="0.25">
      <c r="D587" t="s">
        <v>96</v>
      </c>
      <c r="E587">
        <v>1431</v>
      </c>
      <c r="F587" s="17">
        <v>0.2</v>
      </c>
      <c r="G587" s="17">
        <v>7.566536325531116E-2</v>
      </c>
    </row>
    <row r="588" spans="4:7" hidden="1" outlineLevel="1" x14ac:dyDescent="0.25">
      <c r="D588" t="s">
        <v>96</v>
      </c>
      <c r="E588">
        <v>1431</v>
      </c>
      <c r="F588" s="17">
        <v>0.4</v>
      </c>
      <c r="G588" s="17">
        <v>0.15133072651062232</v>
      </c>
    </row>
    <row r="589" spans="4:7" hidden="1" outlineLevel="1" x14ac:dyDescent="0.25">
      <c r="D589" t="s">
        <v>96</v>
      </c>
      <c r="E589">
        <v>1431</v>
      </c>
      <c r="F589" s="17">
        <v>0.60000000000000009</v>
      </c>
      <c r="G589" s="17">
        <v>0.20908235550060836</v>
      </c>
    </row>
    <row r="590" spans="4:7" hidden="1" outlineLevel="1" x14ac:dyDescent="0.25">
      <c r="D590" t="s">
        <v>96</v>
      </c>
      <c r="E590">
        <v>1431</v>
      </c>
      <c r="F590" s="17">
        <v>0.8</v>
      </c>
      <c r="G590" s="17">
        <v>0.27280522924570272</v>
      </c>
    </row>
    <row r="591" spans="4:7" hidden="1" outlineLevel="1" x14ac:dyDescent="0.25">
      <c r="D591" t="s">
        <v>96</v>
      </c>
      <c r="E591">
        <v>1431</v>
      </c>
      <c r="F591" s="17">
        <v>1</v>
      </c>
      <c r="G591" s="17">
        <v>0.31960957618465674</v>
      </c>
    </row>
    <row r="592" spans="4:7" hidden="1" outlineLevel="1" x14ac:dyDescent="0.25">
      <c r="D592" t="s">
        <v>96</v>
      </c>
      <c r="E592">
        <v>1431</v>
      </c>
      <c r="F592" s="17">
        <v>1.2</v>
      </c>
      <c r="G592" s="17">
        <v>0.36641392312361076</v>
      </c>
    </row>
    <row r="593" spans="4:7" hidden="1" outlineLevel="1" x14ac:dyDescent="0.25">
      <c r="D593" t="s">
        <v>96</v>
      </c>
      <c r="E593">
        <v>1431</v>
      </c>
      <c r="F593" s="17">
        <v>1.4</v>
      </c>
      <c r="G593" s="17">
        <v>0.41321827006256473</v>
      </c>
    </row>
    <row r="594" spans="4:7" hidden="1" outlineLevel="1" x14ac:dyDescent="0.25">
      <c r="D594" t="s">
        <v>96</v>
      </c>
      <c r="E594">
        <v>1431</v>
      </c>
      <c r="F594" s="17">
        <v>1.5999999999999999</v>
      </c>
      <c r="G594" s="17">
        <v>0.4600226170015187</v>
      </c>
    </row>
    <row r="595" spans="4:7" hidden="1" outlineLevel="1" x14ac:dyDescent="0.25">
      <c r="D595" t="s">
        <v>96</v>
      </c>
      <c r="E595">
        <v>1431</v>
      </c>
      <c r="F595" s="17">
        <v>1.7999999999999998</v>
      </c>
      <c r="G595" s="17">
        <v>0.50682696394047277</v>
      </c>
    </row>
    <row r="596" spans="4:7" hidden="1" outlineLevel="1" x14ac:dyDescent="0.25">
      <c r="D596" t="s">
        <v>96</v>
      </c>
      <c r="E596">
        <v>1431</v>
      </c>
      <c r="F596" s="17">
        <v>1.9999999999999998</v>
      </c>
      <c r="G596" s="17">
        <v>0.55363131087942663</v>
      </c>
    </row>
    <row r="597" spans="4:7" hidden="1" outlineLevel="1" x14ac:dyDescent="0.25">
      <c r="D597" t="s">
        <v>96</v>
      </c>
      <c r="E597">
        <v>1431</v>
      </c>
      <c r="F597" s="17">
        <v>2.1999999999999997</v>
      </c>
      <c r="G597" s="17">
        <v>0.60043565781838049</v>
      </c>
    </row>
    <row r="598" spans="4:7" hidden="1" outlineLevel="1" x14ac:dyDescent="0.25">
      <c r="D598" t="s">
        <v>96</v>
      </c>
      <c r="E598">
        <v>1431</v>
      </c>
      <c r="F598" s="17">
        <v>2.4</v>
      </c>
      <c r="G598" s="17">
        <v>0.66913456885939859</v>
      </c>
    </row>
    <row r="599" spans="4:7" hidden="1" outlineLevel="1" x14ac:dyDescent="0.25">
      <c r="D599" t="s">
        <v>96</v>
      </c>
      <c r="E599">
        <v>1431</v>
      </c>
      <c r="F599" s="17">
        <v>2.6</v>
      </c>
      <c r="G599" s="17">
        <v>0.97563896308751041</v>
      </c>
    </row>
    <row r="600" spans="4:7" hidden="1" outlineLevel="1" x14ac:dyDescent="0.25">
      <c r="D600" t="s">
        <v>96</v>
      </c>
      <c r="E600">
        <v>1431</v>
      </c>
      <c r="F600" s="17">
        <v>2.8000000000000003</v>
      </c>
      <c r="G600" s="17">
        <v>0.97563896308751041</v>
      </c>
    </row>
    <row r="601" spans="4:7" hidden="1" outlineLevel="1" x14ac:dyDescent="0.25">
      <c r="D601" t="s">
        <v>96</v>
      </c>
      <c r="E601">
        <v>1431</v>
      </c>
      <c r="F601" s="17">
        <v>3.0000000000000004</v>
      </c>
      <c r="G601" s="17">
        <v>0.97563896308751041</v>
      </c>
    </row>
    <row r="602" spans="4:7" hidden="1" outlineLevel="1" x14ac:dyDescent="0.25">
      <c r="D602" t="s">
        <v>96</v>
      </c>
      <c r="E602">
        <v>1431</v>
      </c>
      <c r="F602" s="17">
        <v>3.2000000000000006</v>
      </c>
      <c r="G602" s="17">
        <v>0.97563896308751041</v>
      </c>
    </row>
    <row r="603" spans="4:7" hidden="1" outlineLevel="1" x14ac:dyDescent="0.25">
      <c r="D603" t="s">
        <v>96</v>
      </c>
      <c r="E603">
        <v>1431</v>
      </c>
      <c r="F603" s="17">
        <v>3.4000000000000008</v>
      </c>
      <c r="G603" s="17">
        <v>0.97563896308751041</v>
      </c>
    </row>
    <row r="604" spans="4:7" hidden="1" outlineLevel="1" x14ac:dyDescent="0.25">
      <c r="D604" t="s">
        <v>96</v>
      </c>
      <c r="E604">
        <v>1431</v>
      </c>
      <c r="F604" s="17">
        <v>3.600000000000001</v>
      </c>
      <c r="G604" s="17">
        <v>0.97563896308751041</v>
      </c>
    </row>
    <row r="605" spans="4:7" ht="15.75" hidden="1" customHeight="1" outlineLevel="1" x14ac:dyDescent="0.25">
      <c r="D605" t="s">
        <v>96</v>
      </c>
      <c r="E605">
        <v>1431</v>
      </c>
      <c r="F605" s="17">
        <v>3.8000000000000012</v>
      </c>
      <c r="G605" s="17">
        <v>0.97563896308751041</v>
      </c>
    </row>
    <row r="606" spans="4:7" hidden="1" outlineLevel="1" x14ac:dyDescent="0.25">
      <c r="D606" t="s">
        <v>96</v>
      </c>
      <c r="E606">
        <v>1431</v>
      </c>
      <c r="F606" s="17">
        <v>4.0000000000000009</v>
      </c>
      <c r="G606" s="17">
        <v>0.97563896308751041</v>
      </c>
    </row>
    <row r="607" spans="4:7" collapsed="1" x14ac:dyDescent="0.25"/>
    <row r="608" spans="4:7" x14ac:dyDescent="0.25">
      <c r="D608" s="13" t="s">
        <v>97</v>
      </c>
      <c r="E608" s="13">
        <v>1432</v>
      </c>
      <c r="F608" s="13" t="s">
        <v>55</v>
      </c>
      <c r="G608" s="13" t="s">
        <v>50</v>
      </c>
    </row>
    <row r="609" spans="4:7" ht="14.25" hidden="1" customHeight="1" outlineLevel="1" x14ac:dyDescent="0.25">
      <c r="D609" t="s">
        <v>97</v>
      </c>
      <c r="E609">
        <v>1432</v>
      </c>
      <c r="F609" s="17">
        <v>0</v>
      </c>
      <c r="G609" s="17">
        <v>0</v>
      </c>
    </row>
    <row r="610" spans="4:7" hidden="1" outlineLevel="1" x14ac:dyDescent="0.25">
      <c r="D610" t="s">
        <v>97</v>
      </c>
      <c r="E610">
        <v>1432</v>
      </c>
      <c r="F610" s="17">
        <v>0.2</v>
      </c>
      <c r="G610" s="17">
        <v>0.11465876305708773</v>
      </c>
    </row>
    <row r="611" spans="4:7" hidden="1" outlineLevel="1" x14ac:dyDescent="0.25">
      <c r="D611" t="s">
        <v>97</v>
      </c>
      <c r="E611">
        <v>1432</v>
      </c>
      <c r="F611" s="17">
        <v>0.4</v>
      </c>
      <c r="G611" s="17">
        <v>0.20829688452561676</v>
      </c>
    </row>
    <row r="612" spans="4:7" hidden="1" outlineLevel="1" x14ac:dyDescent="0.25">
      <c r="D612" t="s">
        <v>97</v>
      </c>
      <c r="E612">
        <v>1432</v>
      </c>
      <c r="F612" s="17">
        <v>0.60000000000000009</v>
      </c>
      <c r="G612" s="17">
        <v>0.27040404361130793</v>
      </c>
    </row>
    <row r="613" spans="4:7" hidden="1" outlineLevel="1" x14ac:dyDescent="0.25">
      <c r="D613" t="s">
        <v>97</v>
      </c>
      <c r="E613">
        <v>1432</v>
      </c>
      <c r="F613" s="17">
        <v>0.8</v>
      </c>
      <c r="G613" s="17">
        <v>0.34302152349127835</v>
      </c>
    </row>
    <row r="614" spans="4:7" hidden="1" outlineLevel="1" x14ac:dyDescent="0.25">
      <c r="D614" t="s">
        <v>97</v>
      </c>
      <c r="E614">
        <v>1432</v>
      </c>
      <c r="F614" s="17">
        <v>1</v>
      </c>
      <c r="G614" s="17">
        <v>0.38585976112079068</v>
      </c>
    </row>
    <row r="615" spans="4:7" hidden="1" outlineLevel="1" x14ac:dyDescent="0.25">
      <c r="D615" t="s">
        <v>97</v>
      </c>
      <c r="E615">
        <v>1432</v>
      </c>
      <c r="F615" s="17">
        <v>1.2</v>
      </c>
      <c r="G615" s="17">
        <v>0.42869799875030307</v>
      </c>
    </row>
    <row r="616" spans="4:7" hidden="1" outlineLevel="1" x14ac:dyDescent="0.25">
      <c r="D616" t="s">
        <v>97</v>
      </c>
      <c r="E616">
        <v>1432</v>
      </c>
      <c r="F616" s="17">
        <v>1.4</v>
      </c>
      <c r="G616" s="17">
        <v>0.47153623637981529</v>
      </c>
    </row>
    <row r="617" spans="4:7" hidden="1" outlineLevel="1" x14ac:dyDescent="0.25">
      <c r="D617" t="s">
        <v>97</v>
      </c>
      <c r="E617">
        <v>1432</v>
      </c>
      <c r="F617" s="17">
        <v>1.5999999999999999</v>
      </c>
      <c r="G617" s="17">
        <v>0.51437447400932768</v>
      </c>
    </row>
    <row r="618" spans="4:7" hidden="1" outlineLevel="1" x14ac:dyDescent="0.25">
      <c r="D618" t="s">
        <v>97</v>
      </c>
      <c r="E618">
        <v>1432</v>
      </c>
      <c r="F618" s="17">
        <v>1.7999999999999998</v>
      </c>
      <c r="G618" s="17">
        <v>0.55721271163884001</v>
      </c>
    </row>
    <row r="619" spans="4:7" hidden="1" outlineLevel="1" x14ac:dyDescent="0.25">
      <c r="D619" t="s">
        <v>97</v>
      </c>
      <c r="E619">
        <v>1432</v>
      </c>
      <c r="F619" s="17">
        <v>1.9999999999999998</v>
      </c>
      <c r="G619" s="17">
        <v>0.60005094926835234</v>
      </c>
    </row>
    <row r="620" spans="4:7" hidden="1" outlineLevel="1" x14ac:dyDescent="0.25">
      <c r="D620" t="s">
        <v>97</v>
      </c>
      <c r="E620">
        <v>1432</v>
      </c>
      <c r="F620" s="17">
        <v>2.1999999999999997</v>
      </c>
      <c r="G620" s="17">
        <v>0.64288918689786478</v>
      </c>
    </row>
    <row r="621" spans="4:7" hidden="1" outlineLevel="1" x14ac:dyDescent="0.25">
      <c r="D621" t="s">
        <v>97</v>
      </c>
      <c r="E621">
        <v>1432</v>
      </c>
      <c r="F621" s="17">
        <v>2.4</v>
      </c>
      <c r="G621" s="17">
        <v>0.70324462585117586</v>
      </c>
    </row>
    <row r="622" spans="4:7" hidden="1" outlineLevel="1" x14ac:dyDescent="0.25">
      <c r="D622" t="s">
        <v>97</v>
      </c>
      <c r="E622">
        <v>1432</v>
      </c>
      <c r="F622" s="17">
        <v>2.6</v>
      </c>
      <c r="G622" s="17">
        <v>0.97815042629658377</v>
      </c>
    </row>
    <row r="623" spans="4:7" hidden="1" outlineLevel="1" x14ac:dyDescent="0.25">
      <c r="D623" t="s">
        <v>97</v>
      </c>
      <c r="E623">
        <v>1432</v>
      </c>
      <c r="F623" s="17">
        <v>2.8000000000000003</v>
      </c>
      <c r="G623" s="17">
        <v>0.97815042629658377</v>
      </c>
    </row>
    <row r="624" spans="4:7" hidden="1" outlineLevel="1" x14ac:dyDescent="0.25">
      <c r="D624" t="s">
        <v>97</v>
      </c>
      <c r="E624">
        <v>1432</v>
      </c>
      <c r="F624" s="17">
        <v>3.0000000000000004</v>
      </c>
      <c r="G624" s="17">
        <v>0.97815042629658377</v>
      </c>
    </row>
    <row r="625" spans="4:7" hidden="1" outlineLevel="1" x14ac:dyDescent="0.25">
      <c r="D625" t="s">
        <v>97</v>
      </c>
      <c r="E625">
        <v>1432</v>
      </c>
      <c r="F625" s="17">
        <v>3.2000000000000006</v>
      </c>
      <c r="G625" s="17">
        <v>0.97815042629658377</v>
      </c>
    </row>
    <row r="626" spans="4:7" hidden="1" outlineLevel="1" x14ac:dyDescent="0.25">
      <c r="D626" t="s">
        <v>97</v>
      </c>
      <c r="E626">
        <v>1432</v>
      </c>
      <c r="F626" s="17">
        <v>3.4000000000000008</v>
      </c>
      <c r="G626" s="17">
        <v>0.97815042629658377</v>
      </c>
    </row>
    <row r="627" spans="4:7" hidden="1" outlineLevel="1" x14ac:dyDescent="0.25">
      <c r="D627" t="s">
        <v>97</v>
      </c>
      <c r="E627">
        <v>1432</v>
      </c>
      <c r="F627" s="17">
        <v>3.600000000000001</v>
      </c>
      <c r="G627" s="17">
        <v>0.97815042629658377</v>
      </c>
    </row>
    <row r="628" spans="4:7" ht="15.75" hidden="1" customHeight="1" outlineLevel="1" x14ac:dyDescent="0.25">
      <c r="D628" t="s">
        <v>97</v>
      </c>
      <c r="E628">
        <v>1432</v>
      </c>
      <c r="F628" s="17">
        <v>3.8000000000000012</v>
      </c>
      <c r="G628" s="17">
        <v>0.97815042629658377</v>
      </c>
    </row>
    <row r="629" spans="4:7" hidden="1" outlineLevel="1" x14ac:dyDescent="0.25">
      <c r="D629" t="s">
        <v>97</v>
      </c>
      <c r="E629">
        <v>1432</v>
      </c>
      <c r="F629" s="17">
        <v>4.0000000000000009</v>
      </c>
      <c r="G629" s="17">
        <v>0.97815042629658377</v>
      </c>
    </row>
    <row r="630" spans="4:7" collapsed="1" x14ac:dyDescent="0.25"/>
    <row r="631" spans="4:7" x14ac:dyDescent="0.25">
      <c r="D631" s="13" t="s">
        <v>98</v>
      </c>
      <c r="E631" s="13">
        <v>1433</v>
      </c>
      <c r="F631" s="13" t="s">
        <v>55</v>
      </c>
      <c r="G631" s="13" t="s">
        <v>50</v>
      </c>
    </row>
    <row r="632" spans="4:7" ht="14.25" hidden="1" customHeight="1" outlineLevel="1" x14ac:dyDescent="0.25">
      <c r="D632" t="s">
        <v>98</v>
      </c>
      <c r="E632">
        <v>1433</v>
      </c>
      <c r="F632" s="17">
        <v>0</v>
      </c>
      <c r="G632" s="17">
        <v>0</v>
      </c>
    </row>
    <row r="633" spans="4:7" hidden="1" outlineLevel="1" x14ac:dyDescent="0.25">
      <c r="D633" t="s">
        <v>98</v>
      </c>
      <c r="E633">
        <v>1433</v>
      </c>
      <c r="F633" s="17">
        <v>0.2</v>
      </c>
      <c r="G633" s="17">
        <v>0.10308032333427095</v>
      </c>
    </row>
    <row r="634" spans="4:7" hidden="1" outlineLevel="1" x14ac:dyDescent="0.25">
      <c r="D634" t="s">
        <v>98</v>
      </c>
      <c r="E634">
        <v>1433</v>
      </c>
      <c r="F634" s="17">
        <v>0.4</v>
      </c>
      <c r="G634" s="17">
        <v>0.20616064666854189</v>
      </c>
    </row>
    <row r="635" spans="4:7" hidden="1" outlineLevel="1" x14ac:dyDescent="0.25">
      <c r="D635" t="s">
        <v>98</v>
      </c>
      <c r="E635">
        <v>1433</v>
      </c>
      <c r="F635" s="17">
        <v>0.60000000000000009</v>
      </c>
      <c r="G635" s="17">
        <v>0.27055603519058713</v>
      </c>
    </row>
    <row r="636" spans="4:7" hidden="1" outlineLevel="1" x14ac:dyDescent="0.25">
      <c r="D636" t="s">
        <v>98</v>
      </c>
      <c r="E636">
        <v>1433</v>
      </c>
      <c r="F636" s="17">
        <v>0.8</v>
      </c>
      <c r="G636" s="17">
        <v>0.3478464019833743</v>
      </c>
    </row>
    <row r="637" spans="4:7" hidden="1" outlineLevel="1" x14ac:dyDescent="0.25">
      <c r="D637" t="s">
        <v>98</v>
      </c>
      <c r="E637">
        <v>1433</v>
      </c>
      <c r="F637" s="17">
        <v>1</v>
      </c>
      <c r="G637" s="17">
        <v>0.38860099700905948</v>
      </c>
    </row>
    <row r="638" spans="4:7" hidden="1" outlineLevel="1" x14ac:dyDescent="0.25">
      <c r="D638" t="s">
        <v>98</v>
      </c>
      <c r="E638">
        <v>1433</v>
      </c>
      <c r="F638" s="17">
        <v>1.2</v>
      </c>
      <c r="G638" s="17">
        <v>0.42935559203474466</v>
      </c>
    </row>
    <row r="639" spans="4:7" hidden="1" outlineLevel="1" x14ac:dyDescent="0.25">
      <c r="D639" t="s">
        <v>98</v>
      </c>
      <c r="E639">
        <v>1433</v>
      </c>
      <c r="F639" s="17">
        <v>1.4</v>
      </c>
      <c r="G639" s="17">
        <v>0.47011018706042984</v>
      </c>
    </row>
    <row r="640" spans="4:7" hidden="1" outlineLevel="1" x14ac:dyDescent="0.25">
      <c r="D640" t="s">
        <v>98</v>
      </c>
      <c r="E640">
        <v>1433</v>
      </c>
      <c r="F640" s="17">
        <v>1.5999999999999999</v>
      </c>
      <c r="G640" s="17">
        <v>0.51086478208611497</v>
      </c>
    </row>
    <row r="641" spans="4:7" hidden="1" outlineLevel="1" x14ac:dyDescent="0.25">
      <c r="D641" t="s">
        <v>98</v>
      </c>
      <c r="E641">
        <v>1433</v>
      </c>
      <c r="F641" s="17">
        <v>1.7999999999999998</v>
      </c>
      <c r="G641" s="17">
        <v>0.55161937711180009</v>
      </c>
    </row>
    <row r="642" spans="4:7" hidden="1" outlineLevel="1" x14ac:dyDescent="0.25">
      <c r="D642" t="s">
        <v>98</v>
      </c>
      <c r="E642">
        <v>1433</v>
      </c>
      <c r="F642" s="17">
        <v>1.9999999999999998</v>
      </c>
      <c r="G642" s="17">
        <v>0.59237397213748522</v>
      </c>
    </row>
    <row r="643" spans="4:7" hidden="1" outlineLevel="1" x14ac:dyDescent="0.25">
      <c r="D643" t="s">
        <v>98</v>
      </c>
      <c r="E643">
        <v>1433</v>
      </c>
      <c r="F643" s="17">
        <v>2.1999999999999997</v>
      </c>
      <c r="G643" s="17">
        <v>0.63312856716317034</v>
      </c>
    </row>
    <row r="644" spans="4:7" hidden="1" outlineLevel="1" x14ac:dyDescent="0.25">
      <c r="D644" t="s">
        <v>98</v>
      </c>
      <c r="E644">
        <v>1433</v>
      </c>
      <c r="F644" s="17">
        <v>2.4</v>
      </c>
      <c r="G644" s="17">
        <v>0.7211647491815758</v>
      </c>
    </row>
    <row r="645" spans="4:7" hidden="1" outlineLevel="1" x14ac:dyDescent="0.25">
      <c r="D645" t="s">
        <v>98</v>
      </c>
      <c r="E645">
        <v>1433</v>
      </c>
      <c r="F645" s="17">
        <v>2.6</v>
      </c>
      <c r="G645" s="17">
        <v>0.97946985330478864</v>
      </c>
    </row>
    <row r="646" spans="4:7" hidden="1" outlineLevel="1" x14ac:dyDescent="0.25">
      <c r="D646" t="s">
        <v>98</v>
      </c>
      <c r="E646">
        <v>1433</v>
      </c>
      <c r="F646" s="17">
        <v>2.8000000000000003</v>
      </c>
      <c r="G646" s="17">
        <v>0.97946985330478864</v>
      </c>
    </row>
    <row r="647" spans="4:7" hidden="1" outlineLevel="1" x14ac:dyDescent="0.25">
      <c r="D647" t="s">
        <v>98</v>
      </c>
      <c r="E647">
        <v>1433</v>
      </c>
      <c r="F647" s="17">
        <v>3.0000000000000004</v>
      </c>
      <c r="G647" s="17">
        <v>0.97946985330478864</v>
      </c>
    </row>
    <row r="648" spans="4:7" hidden="1" outlineLevel="1" x14ac:dyDescent="0.25">
      <c r="D648" t="s">
        <v>98</v>
      </c>
      <c r="E648">
        <v>1433</v>
      </c>
      <c r="F648" s="17">
        <v>3.2000000000000006</v>
      </c>
      <c r="G648" s="17">
        <v>0.97946985330478864</v>
      </c>
    </row>
    <row r="649" spans="4:7" hidden="1" outlineLevel="1" x14ac:dyDescent="0.25">
      <c r="D649" t="s">
        <v>98</v>
      </c>
      <c r="E649">
        <v>1433</v>
      </c>
      <c r="F649" s="17">
        <v>3.4000000000000008</v>
      </c>
      <c r="G649" s="17">
        <v>0.97946985330478864</v>
      </c>
    </row>
    <row r="650" spans="4:7" hidden="1" outlineLevel="1" x14ac:dyDescent="0.25">
      <c r="D650" t="s">
        <v>98</v>
      </c>
      <c r="E650">
        <v>1433</v>
      </c>
      <c r="F650" s="17">
        <v>3.600000000000001</v>
      </c>
      <c r="G650" s="17">
        <v>0.97946985330478864</v>
      </c>
    </row>
    <row r="651" spans="4:7" ht="15.75" hidden="1" customHeight="1" outlineLevel="1" x14ac:dyDescent="0.25">
      <c r="D651" t="s">
        <v>98</v>
      </c>
      <c r="E651">
        <v>1433</v>
      </c>
      <c r="F651" s="17">
        <v>3.8000000000000012</v>
      </c>
      <c r="G651" s="17">
        <v>0.97946985330478864</v>
      </c>
    </row>
    <row r="652" spans="4:7" hidden="1" outlineLevel="1" x14ac:dyDescent="0.25">
      <c r="D652" t="s">
        <v>98</v>
      </c>
      <c r="E652">
        <v>1433</v>
      </c>
      <c r="F652" s="17">
        <v>4.0000000000000009</v>
      </c>
      <c r="G652" s="17">
        <v>0.97946985330478864</v>
      </c>
    </row>
    <row r="653" spans="4:7" collapsed="1" x14ac:dyDescent="0.25"/>
    <row r="654" spans="4:7" x14ac:dyDescent="0.25">
      <c r="D654" s="13" t="s">
        <v>99</v>
      </c>
      <c r="E654" s="13">
        <v>1434</v>
      </c>
      <c r="F654" s="13" t="s">
        <v>55</v>
      </c>
      <c r="G654" s="13" t="s">
        <v>50</v>
      </c>
    </row>
    <row r="655" spans="4:7" ht="14.25" hidden="1" customHeight="1" outlineLevel="1" x14ac:dyDescent="0.25">
      <c r="D655" t="s">
        <v>99</v>
      </c>
      <c r="E655">
        <v>1434</v>
      </c>
      <c r="F655" s="17">
        <v>0</v>
      </c>
      <c r="G655" s="17">
        <v>0</v>
      </c>
    </row>
    <row r="656" spans="4:7" hidden="1" outlineLevel="1" x14ac:dyDescent="0.25">
      <c r="D656" t="s">
        <v>99</v>
      </c>
      <c r="E656">
        <v>1434</v>
      </c>
      <c r="F656" s="17">
        <v>0.2</v>
      </c>
      <c r="G656" s="17">
        <v>0.3161329796199645</v>
      </c>
    </row>
    <row r="657" spans="4:7" hidden="1" outlineLevel="1" x14ac:dyDescent="0.25">
      <c r="D657" t="s">
        <v>99</v>
      </c>
      <c r="E657">
        <v>1434</v>
      </c>
      <c r="F657" s="17">
        <v>0.4</v>
      </c>
      <c r="G657" s="17">
        <v>0.51841780609717403</v>
      </c>
    </row>
    <row r="658" spans="4:7" hidden="1" outlineLevel="1" x14ac:dyDescent="0.25">
      <c r="D658" t="s">
        <v>99</v>
      </c>
      <c r="E658">
        <v>1434</v>
      </c>
      <c r="F658" s="17">
        <v>0.60000000000000009</v>
      </c>
      <c r="G658" s="17">
        <v>0.60685447943162862</v>
      </c>
    </row>
    <row r="659" spans="4:7" hidden="1" outlineLevel="1" x14ac:dyDescent="0.25">
      <c r="D659" t="s">
        <v>99</v>
      </c>
      <c r="E659">
        <v>1434</v>
      </c>
      <c r="F659" s="17">
        <v>0.8</v>
      </c>
      <c r="G659" s="17">
        <v>0.73324053714700144</v>
      </c>
    </row>
    <row r="660" spans="4:7" hidden="1" outlineLevel="1" x14ac:dyDescent="0.25">
      <c r="D660" t="s">
        <v>99</v>
      </c>
      <c r="E660">
        <v>1434</v>
      </c>
      <c r="F660" s="17">
        <v>1</v>
      </c>
      <c r="G660" s="17">
        <v>0.75210333911643901</v>
      </c>
    </row>
    <row r="661" spans="4:7" hidden="1" outlineLevel="1" x14ac:dyDescent="0.25">
      <c r="D661" t="s">
        <v>99</v>
      </c>
      <c r="E661">
        <v>1434</v>
      </c>
      <c r="F661" s="17">
        <v>1.2</v>
      </c>
      <c r="G661" s="17">
        <v>0.77096614108587658</v>
      </c>
    </row>
    <row r="662" spans="4:7" hidden="1" outlineLevel="1" x14ac:dyDescent="0.25">
      <c r="D662" t="s">
        <v>99</v>
      </c>
      <c r="E662">
        <v>1434</v>
      </c>
      <c r="F662" s="17">
        <v>1.4</v>
      </c>
      <c r="G662" s="17">
        <v>0.78982894305531426</v>
      </c>
    </row>
    <row r="663" spans="4:7" hidden="1" outlineLevel="1" x14ac:dyDescent="0.25">
      <c r="D663" t="s">
        <v>99</v>
      </c>
      <c r="E663">
        <v>1434</v>
      </c>
      <c r="F663" s="17">
        <v>1.5999999999999999</v>
      </c>
      <c r="G663" s="17">
        <v>0.80869174502475161</v>
      </c>
    </row>
    <row r="664" spans="4:7" hidden="1" outlineLevel="1" x14ac:dyDescent="0.25">
      <c r="D664" t="s">
        <v>99</v>
      </c>
      <c r="E664">
        <v>1434</v>
      </c>
      <c r="F664" s="17">
        <v>1.7999999999999998</v>
      </c>
      <c r="G664" s="17">
        <v>0.82755454699418951</v>
      </c>
    </row>
    <row r="665" spans="4:7" hidden="1" outlineLevel="1" x14ac:dyDescent="0.25">
      <c r="D665" t="s">
        <v>99</v>
      </c>
      <c r="E665">
        <v>1434</v>
      </c>
      <c r="F665" s="17">
        <v>1.9999999999999998</v>
      </c>
      <c r="G665" s="17">
        <v>0.84641734896362675</v>
      </c>
    </row>
    <row r="666" spans="4:7" hidden="1" outlineLevel="1" x14ac:dyDescent="0.25">
      <c r="D666" t="s">
        <v>99</v>
      </c>
      <c r="E666">
        <v>1434</v>
      </c>
      <c r="F666" s="17">
        <v>2.1999999999999997</v>
      </c>
      <c r="G666" s="17">
        <v>0.86528015093306432</v>
      </c>
    </row>
    <row r="667" spans="4:7" hidden="1" outlineLevel="1" x14ac:dyDescent="0.25">
      <c r="D667" t="s">
        <v>99</v>
      </c>
      <c r="E667">
        <v>1434</v>
      </c>
      <c r="F667" s="17">
        <v>2.4</v>
      </c>
      <c r="G667" s="17">
        <v>0.90944254248978063</v>
      </c>
    </row>
    <row r="668" spans="4:7" hidden="1" outlineLevel="1" x14ac:dyDescent="0.25">
      <c r="D668" t="s">
        <v>99</v>
      </c>
      <c r="E668">
        <v>1434</v>
      </c>
      <c r="F668" s="17">
        <v>2.6</v>
      </c>
      <c r="G668" s="17">
        <v>0.99333241445773701</v>
      </c>
    </row>
    <row r="669" spans="4:7" hidden="1" outlineLevel="1" x14ac:dyDescent="0.25">
      <c r="D669" t="s">
        <v>99</v>
      </c>
      <c r="E669">
        <v>1434</v>
      </c>
      <c r="F669" s="17">
        <v>2.8000000000000003</v>
      </c>
      <c r="G669" s="17">
        <v>0.99333241445773701</v>
      </c>
    </row>
    <row r="670" spans="4:7" hidden="1" outlineLevel="1" x14ac:dyDescent="0.25">
      <c r="D670" t="s">
        <v>99</v>
      </c>
      <c r="E670">
        <v>1434</v>
      </c>
      <c r="F670" s="17">
        <v>3.0000000000000004</v>
      </c>
      <c r="G670" s="17">
        <v>0.99333241445773701</v>
      </c>
    </row>
    <row r="671" spans="4:7" hidden="1" outlineLevel="1" x14ac:dyDescent="0.25">
      <c r="D671" t="s">
        <v>99</v>
      </c>
      <c r="E671">
        <v>1434</v>
      </c>
      <c r="F671" s="17">
        <v>3.2000000000000006</v>
      </c>
      <c r="G671" s="17">
        <v>0.99333241445773701</v>
      </c>
    </row>
    <row r="672" spans="4:7" hidden="1" outlineLevel="1" x14ac:dyDescent="0.25">
      <c r="D672" t="s">
        <v>99</v>
      </c>
      <c r="E672">
        <v>1434</v>
      </c>
      <c r="F672" s="17">
        <v>3.4000000000000008</v>
      </c>
      <c r="G672" s="17">
        <v>0.99333241445773701</v>
      </c>
    </row>
    <row r="673" spans="4:7" hidden="1" outlineLevel="1" x14ac:dyDescent="0.25">
      <c r="D673" t="s">
        <v>99</v>
      </c>
      <c r="E673">
        <v>1434</v>
      </c>
      <c r="F673" s="17">
        <v>3.600000000000001</v>
      </c>
      <c r="G673" s="17">
        <v>0.99333241445773701</v>
      </c>
    </row>
    <row r="674" spans="4:7" ht="15.75" hidden="1" customHeight="1" outlineLevel="1" x14ac:dyDescent="0.25">
      <c r="D674" t="s">
        <v>99</v>
      </c>
      <c r="E674">
        <v>1434</v>
      </c>
      <c r="F674" s="17">
        <v>3.8000000000000012</v>
      </c>
      <c r="G674" s="17">
        <v>0.99333241445773701</v>
      </c>
    </row>
    <row r="675" spans="4:7" hidden="1" outlineLevel="1" x14ac:dyDescent="0.25">
      <c r="D675" t="s">
        <v>99</v>
      </c>
      <c r="E675">
        <v>1434</v>
      </c>
      <c r="F675" s="17">
        <v>4.0000000000000009</v>
      </c>
      <c r="G675" s="17">
        <v>0.99333241445773701</v>
      </c>
    </row>
    <row r="676" spans="4:7" collapsed="1" x14ac:dyDescent="0.25"/>
    <row r="677" spans="4:7" x14ac:dyDescent="0.25">
      <c r="D677" s="13" t="s">
        <v>100</v>
      </c>
      <c r="E677" s="13">
        <v>1435</v>
      </c>
      <c r="F677" s="13" t="s">
        <v>55</v>
      </c>
      <c r="G677" s="13" t="s">
        <v>50</v>
      </c>
    </row>
    <row r="678" spans="4:7" ht="14.25" hidden="1" customHeight="1" outlineLevel="1" x14ac:dyDescent="0.25">
      <c r="D678" t="s">
        <v>100</v>
      </c>
      <c r="E678">
        <v>1435</v>
      </c>
      <c r="F678" s="17">
        <v>0</v>
      </c>
      <c r="G678" s="17">
        <v>0</v>
      </c>
    </row>
    <row r="679" spans="4:7" hidden="1" outlineLevel="1" x14ac:dyDescent="0.25">
      <c r="D679" t="s">
        <v>100</v>
      </c>
      <c r="E679">
        <v>1435</v>
      </c>
      <c r="F679" s="17">
        <v>0.2</v>
      </c>
      <c r="G679" s="17">
        <v>8.6124032093301314E-2</v>
      </c>
    </row>
    <row r="680" spans="4:7" hidden="1" outlineLevel="1" x14ac:dyDescent="0.25">
      <c r="D680" t="s">
        <v>100</v>
      </c>
      <c r="E680">
        <v>1435</v>
      </c>
      <c r="F680" s="17">
        <v>0.4</v>
      </c>
      <c r="G680" s="17">
        <v>0.17224806418660263</v>
      </c>
    </row>
    <row r="681" spans="4:7" hidden="1" outlineLevel="1" x14ac:dyDescent="0.25">
      <c r="D681" t="s">
        <v>100</v>
      </c>
      <c r="E681">
        <v>1435</v>
      </c>
      <c r="F681" s="17">
        <v>0.60000000000000009</v>
      </c>
      <c r="G681" s="17">
        <v>0.23253425389033469</v>
      </c>
    </row>
    <row r="682" spans="4:7" hidden="1" outlineLevel="1" x14ac:dyDescent="0.25">
      <c r="D682" t="s">
        <v>100</v>
      </c>
      <c r="E682">
        <v>1435</v>
      </c>
      <c r="F682" s="17">
        <v>0.8</v>
      </c>
      <c r="G682" s="17">
        <v>0.30143305772392315</v>
      </c>
    </row>
    <row r="683" spans="4:7" hidden="1" outlineLevel="1" x14ac:dyDescent="0.25">
      <c r="D683" t="s">
        <v>100</v>
      </c>
      <c r="E683">
        <v>1435</v>
      </c>
      <c r="F683" s="17">
        <v>1</v>
      </c>
      <c r="G683" s="17">
        <v>0.34592945485625182</v>
      </c>
    </row>
    <row r="684" spans="4:7" hidden="1" outlineLevel="1" x14ac:dyDescent="0.25">
      <c r="D684" t="s">
        <v>100</v>
      </c>
      <c r="E684">
        <v>1435</v>
      </c>
      <c r="F684" s="17">
        <v>1.2</v>
      </c>
      <c r="G684" s="17">
        <v>0.39042585198858054</v>
      </c>
    </row>
    <row r="685" spans="4:7" hidden="1" outlineLevel="1" x14ac:dyDescent="0.25">
      <c r="D685" t="s">
        <v>100</v>
      </c>
      <c r="E685">
        <v>1435</v>
      </c>
      <c r="F685" s="17">
        <v>1.4</v>
      </c>
      <c r="G685" s="17">
        <v>0.43492224912090915</v>
      </c>
    </row>
    <row r="686" spans="4:7" hidden="1" outlineLevel="1" x14ac:dyDescent="0.25">
      <c r="D686" t="s">
        <v>100</v>
      </c>
      <c r="E686">
        <v>1435</v>
      </c>
      <c r="F686" s="17">
        <v>1.5999999999999999</v>
      </c>
      <c r="G686" s="17">
        <v>0.47941864625323788</v>
      </c>
    </row>
    <row r="687" spans="4:7" hidden="1" outlineLevel="1" x14ac:dyDescent="0.25">
      <c r="D687" t="s">
        <v>100</v>
      </c>
      <c r="E687">
        <v>1435</v>
      </c>
      <c r="F687" s="17">
        <v>1.7999999999999998</v>
      </c>
      <c r="G687" s="17">
        <v>0.52391504338556649</v>
      </c>
    </row>
    <row r="688" spans="4:7" hidden="1" outlineLevel="1" x14ac:dyDescent="0.25">
      <c r="D688" t="s">
        <v>100</v>
      </c>
      <c r="E688">
        <v>1435</v>
      </c>
      <c r="F688" s="17">
        <v>1.9999999999999998</v>
      </c>
      <c r="G688" s="17">
        <v>0.56841144051789516</v>
      </c>
    </row>
    <row r="689" spans="4:7" hidden="1" outlineLevel="1" x14ac:dyDescent="0.25">
      <c r="D689" t="s">
        <v>100</v>
      </c>
      <c r="E689">
        <v>1435</v>
      </c>
      <c r="F689" s="17">
        <v>2.1999999999999997</v>
      </c>
      <c r="G689" s="17">
        <v>0.61290783765022383</v>
      </c>
    </row>
    <row r="690" spans="4:7" hidden="1" outlineLevel="1" x14ac:dyDescent="0.25">
      <c r="D690" t="s">
        <v>100</v>
      </c>
      <c r="E690">
        <v>1435</v>
      </c>
      <c r="F690" s="17">
        <v>2.4</v>
      </c>
      <c r="G690" s="17">
        <v>0.6889838199253594</v>
      </c>
    </row>
    <row r="691" spans="4:7" hidden="1" outlineLevel="1" x14ac:dyDescent="0.25">
      <c r="D691" t="s">
        <v>100</v>
      </c>
      <c r="E691">
        <v>1435</v>
      </c>
      <c r="F691" s="17">
        <v>2.6</v>
      </c>
      <c r="G691" s="17">
        <v>0.97710042836128108</v>
      </c>
    </row>
    <row r="692" spans="4:7" hidden="1" outlineLevel="1" x14ac:dyDescent="0.25">
      <c r="D692" t="s">
        <v>100</v>
      </c>
      <c r="E692">
        <v>1435</v>
      </c>
      <c r="F692" s="17">
        <v>2.8000000000000003</v>
      </c>
      <c r="G692" s="17">
        <v>0.97710042836128108</v>
      </c>
    </row>
    <row r="693" spans="4:7" hidden="1" outlineLevel="1" x14ac:dyDescent="0.25">
      <c r="D693" t="s">
        <v>100</v>
      </c>
      <c r="E693">
        <v>1435</v>
      </c>
      <c r="F693" s="17">
        <v>3.0000000000000004</v>
      </c>
      <c r="G693" s="17">
        <v>0.97710042836128108</v>
      </c>
    </row>
    <row r="694" spans="4:7" hidden="1" outlineLevel="1" x14ac:dyDescent="0.25">
      <c r="D694" t="s">
        <v>100</v>
      </c>
      <c r="E694">
        <v>1435</v>
      </c>
      <c r="F694" s="17">
        <v>3.2000000000000006</v>
      </c>
      <c r="G694" s="17">
        <v>0.97710042836128108</v>
      </c>
    </row>
    <row r="695" spans="4:7" hidden="1" outlineLevel="1" x14ac:dyDescent="0.25">
      <c r="D695" t="s">
        <v>100</v>
      </c>
      <c r="E695">
        <v>1435</v>
      </c>
      <c r="F695" s="17">
        <v>3.4000000000000008</v>
      </c>
      <c r="G695" s="17">
        <v>0.97710042836128108</v>
      </c>
    </row>
    <row r="696" spans="4:7" hidden="1" outlineLevel="1" x14ac:dyDescent="0.25">
      <c r="D696" t="s">
        <v>100</v>
      </c>
      <c r="E696">
        <v>1435</v>
      </c>
      <c r="F696" s="17">
        <v>3.600000000000001</v>
      </c>
      <c r="G696" s="17">
        <v>0.97710042836128108</v>
      </c>
    </row>
    <row r="697" spans="4:7" ht="15.75" hidden="1" customHeight="1" outlineLevel="1" x14ac:dyDescent="0.25">
      <c r="D697" t="s">
        <v>100</v>
      </c>
      <c r="E697">
        <v>1435</v>
      </c>
      <c r="F697" s="17">
        <v>3.8000000000000012</v>
      </c>
      <c r="G697" s="17">
        <v>0.97710042836128108</v>
      </c>
    </row>
    <row r="698" spans="4:7" hidden="1" outlineLevel="1" x14ac:dyDescent="0.25">
      <c r="D698" t="s">
        <v>100</v>
      </c>
      <c r="E698">
        <v>1435</v>
      </c>
      <c r="F698" s="17">
        <v>4.0000000000000009</v>
      </c>
      <c r="G698" s="17">
        <v>0.97710042836128108</v>
      </c>
    </row>
    <row r="699" spans="4:7" collapsed="1" x14ac:dyDescent="0.25"/>
    <row r="700" spans="4:7" x14ac:dyDescent="0.25">
      <c r="D700" s="13" t="s">
        <v>101</v>
      </c>
      <c r="E700" s="13">
        <v>1440</v>
      </c>
      <c r="F700" s="13" t="s">
        <v>55</v>
      </c>
      <c r="G700" s="13" t="s">
        <v>48</v>
      </c>
    </row>
    <row r="701" spans="4:7" ht="14.25" hidden="1" customHeight="1" outlineLevel="1" x14ac:dyDescent="0.25">
      <c r="D701" t="s">
        <v>101</v>
      </c>
      <c r="E701">
        <v>1440</v>
      </c>
      <c r="F701" s="17">
        <v>0</v>
      </c>
      <c r="G701" s="17">
        <v>0</v>
      </c>
    </row>
    <row r="702" spans="4:7" hidden="1" outlineLevel="1" x14ac:dyDescent="0.25">
      <c r="D702" t="s">
        <v>101</v>
      </c>
      <c r="E702">
        <v>1440</v>
      </c>
      <c r="F702" s="17">
        <v>0.2</v>
      </c>
      <c r="G702" s="17">
        <v>9.0116220313289544E-2</v>
      </c>
    </row>
    <row r="703" spans="4:7" hidden="1" outlineLevel="1" x14ac:dyDescent="0.25">
      <c r="D703" t="s">
        <v>101</v>
      </c>
      <c r="E703">
        <v>1440</v>
      </c>
      <c r="F703" s="17">
        <v>0.4</v>
      </c>
      <c r="G703" s="17">
        <v>0.18023244062657909</v>
      </c>
    </row>
    <row r="704" spans="4:7" hidden="1" outlineLevel="1" x14ac:dyDescent="0.25">
      <c r="D704" t="s">
        <v>101</v>
      </c>
      <c r="E704">
        <v>1440</v>
      </c>
      <c r="F704" s="17">
        <v>0.60000000000000009</v>
      </c>
      <c r="G704" s="17">
        <v>0.20110248518535534</v>
      </c>
    </row>
    <row r="705" spans="4:7" hidden="1" outlineLevel="1" x14ac:dyDescent="0.25">
      <c r="D705" t="s">
        <v>101</v>
      </c>
      <c r="E705">
        <v>1440</v>
      </c>
      <c r="F705" s="17">
        <v>0.8</v>
      </c>
      <c r="G705" s="17">
        <v>0.22197252974413156</v>
      </c>
    </row>
    <row r="706" spans="4:7" hidden="1" outlineLevel="1" x14ac:dyDescent="0.25">
      <c r="D706" t="s">
        <v>101</v>
      </c>
      <c r="E706">
        <v>1440</v>
      </c>
      <c r="F706" s="17">
        <v>1</v>
      </c>
      <c r="G706" s="17">
        <v>0.24284257430290782</v>
      </c>
    </row>
    <row r="707" spans="4:7" hidden="1" outlineLevel="1" x14ac:dyDescent="0.25">
      <c r="D707" t="s">
        <v>101</v>
      </c>
      <c r="E707">
        <v>1440</v>
      </c>
      <c r="F707" s="17">
        <v>1.2</v>
      </c>
      <c r="G707" s="17">
        <v>0.26371261886168407</v>
      </c>
    </row>
    <row r="708" spans="4:7" hidden="1" outlineLevel="1" x14ac:dyDescent="0.25">
      <c r="D708" t="s">
        <v>101</v>
      </c>
      <c r="E708">
        <v>1440</v>
      </c>
      <c r="F708" s="17">
        <v>1.4</v>
      </c>
      <c r="G708" s="17">
        <v>0.28458266342046024</v>
      </c>
    </row>
    <row r="709" spans="4:7" hidden="1" outlineLevel="1" x14ac:dyDescent="0.25">
      <c r="D709" t="s">
        <v>101</v>
      </c>
      <c r="E709">
        <v>1440</v>
      </c>
      <c r="F709" s="17">
        <v>1.5999999999999999</v>
      </c>
      <c r="G709" s="17">
        <v>0.30545270797923646</v>
      </c>
    </row>
    <row r="710" spans="4:7" hidden="1" outlineLevel="1" x14ac:dyDescent="0.25">
      <c r="D710" t="s">
        <v>101</v>
      </c>
      <c r="E710">
        <v>1440</v>
      </c>
      <c r="F710" s="17">
        <v>1.7999999999999998</v>
      </c>
      <c r="G710" s="17">
        <v>0.32632275253801268</v>
      </c>
    </row>
    <row r="711" spans="4:7" hidden="1" outlineLevel="1" x14ac:dyDescent="0.25">
      <c r="D711" t="s">
        <v>101</v>
      </c>
      <c r="E711">
        <v>1440</v>
      </c>
      <c r="F711" s="17">
        <v>1.9999999999999998</v>
      </c>
      <c r="G711" s="17">
        <v>0.34719279709678891</v>
      </c>
    </row>
    <row r="712" spans="4:7" hidden="1" outlineLevel="1" x14ac:dyDescent="0.25">
      <c r="D712" t="s">
        <v>101</v>
      </c>
      <c r="E712">
        <v>1440</v>
      </c>
      <c r="F712" s="17">
        <v>2.1999999999999997</v>
      </c>
      <c r="G712" s="17">
        <v>0.36806284165556513</v>
      </c>
    </row>
    <row r="713" spans="4:7" hidden="1" outlineLevel="1" x14ac:dyDescent="0.25">
      <c r="D713" t="s">
        <v>101</v>
      </c>
      <c r="E713">
        <v>1440</v>
      </c>
      <c r="F713" s="17">
        <v>2.4</v>
      </c>
      <c r="G713" s="17">
        <v>0.38893288621434136</v>
      </c>
    </row>
    <row r="714" spans="4:7" hidden="1" outlineLevel="1" x14ac:dyDescent="0.25">
      <c r="D714" t="s">
        <v>101</v>
      </c>
      <c r="E714">
        <v>1440</v>
      </c>
      <c r="F714" s="17">
        <v>2.6</v>
      </c>
      <c r="G714" s="17">
        <v>0.99983830217281455</v>
      </c>
    </row>
    <row r="715" spans="4:7" hidden="1" outlineLevel="1" x14ac:dyDescent="0.25">
      <c r="D715" t="s">
        <v>101</v>
      </c>
      <c r="E715">
        <v>1440</v>
      </c>
      <c r="F715" s="17">
        <v>2.8000000000000003</v>
      </c>
      <c r="G715" s="17">
        <v>0.99983830217281455</v>
      </c>
    </row>
    <row r="716" spans="4:7" hidden="1" outlineLevel="1" x14ac:dyDescent="0.25">
      <c r="D716" t="s">
        <v>101</v>
      </c>
      <c r="E716">
        <v>1440</v>
      </c>
      <c r="F716" s="17">
        <v>3.0000000000000004</v>
      </c>
      <c r="G716" s="17">
        <v>0.99983830217281455</v>
      </c>
    </row>
    <row r="717" spans="4:7" hidden="1" outlineLevel="1" x14ac:dyDescent="0.25">
      <c r="D717" t="s">
        <v>101</v>
      </c>
      <c r="E717">
        <v>1440</v>
      </c>
      <c r="F717" s="17">
        <v>3.2000000000000006</v>
      </c>
      <c r="G717" s="17">
        <v>0.99983830217281455</v>
      </c>
    </row>
    <row r="718" spans="4:7" hidden="1" outlineLevel="1" x14ac:dyDescent="0.25">
      <c r="D718" t="s">
        <v>101</v>
      </c>
      <c r="E718">
        <v>1440</v>
      </c>
      <c r="F718" s="17">
        <v>3.4000000000000008</v>
      </c>
      <c r="G718" s="17">
        <v>0.99983830217281455</v>
      </c>
    </row>
    <row r="719" spans="4:7" hidden="1" outlineLevel="1" x14ac:dyDescent="0.25">
      <c r="D719" t="s">
        <v>101</v>
      </c>
      <c r="E719">
        <v>1440</v>
      </c>
      <c r="F719" s="17">
        <v>3.600000000000001</v>
      </c>
      <c r="G719" s="17">
        <v>0.99983830217281455</v>
      </c>
    </row>
    <row r="720" spans="4:7" hidden="1" outlineLevel="1" x14ac:dyDescent="0.25">
      <c r="D720" t="s">
        <v>101</v>
      </c>
      <c r="E720">
        <v>1440</v>
      </c>
      <c r="F720" s="17">
        <v>3.8000000000000012</v>
      </c>
      <c r="G720" s="17">
        <v>0.99983830217281455</v>
      </c>
    </row>
    <row r="721" spans="4:7" hidden="1" outlineLevel="1" x14ac:dyDescent="0.25">
      <c r="D721" t="s">
        <v>101</v>
      </c>
      <c r="E721">
        <v>1440</v>
      </c>
      <c r="F721" s="17">
        <v>4.0000000000000009</v>
      </c>
      <c r="G721" s="17">
        <v>0.99983830217281455</v>
      </c>
    </row>
    <row r="722" spans="4:7" collapsed="1" x14ac:dyDescent="0.25"/>
    <row r="723" spans="4:7" x14ac:dyDescent="0.25">
      <c r="D723" s="13" t="s">
        <v>102</v>
      </c>
      <c r="E723" s="13">
        <v>1441</v>
      </c>
      <c r="F723" s="13" t="s">
        <v>55</v>
      </c>
      <c r="G723" s="13" t="s">
        <v>49</v>
      </c>
    </row>
    <row r="724" spans="4:7" ht="14.25" hidden="1" customHeight="1" outlineLevel="1" x14ac:dyDescent="0.25">
      <c r="D724" t="s">
        <v>102</v>
      </c>
      <c r="E724">
        <v>1441</v>
      </c>
      <c r="F724" s="17">
        <v>0</v>
      </c>
      <c r="G724" s="17">
        <v>0</v>
      </c>
    </row>
    <row r="725" spans="4:7" hidden="1" outlineLevel="1" x14ac:dyDescent="0.25">
      <c r="D725" t="s">
        <v>102</v>
      </c>
      <c r="E725">
        <v>1441</v>
      </c>
      <c r="F725" s="17">
        <v>0.2</v>
      </c>
      <c r="G725" s="17">
        <v>0.13724341917704078</v>
      </c>
    </row>
    <row r="726" spans="4:7" hidden="1" outlineLevel="1" x14ac:dyDescent="0.25">
      <c r="D726" t="s">
        <v>102</v>
      </c>
      <c r="E726">
        <v>1441</v>
      </c>
      <c r="F726" s="17">
        <v>0.4</v>
      </c>
      <c r="G726" s="17">
        <v>0.27448683835408155</v>
      </c>
    </row>
    <row r="727" spans="4:7" hidden="1" outlineLevel="1" x14ac:dyDescent="0.25">
      <c r="D727" t="s">
        <v>102</v>
      </c>
      <c r="E727">
        <v>1441</v>
      </c>
      <c r="F727" s="17">
        <v>0.60000000000000009</v>
      </c>
      <c r="G727" s="17">
        <v>0.31868115729181967</v>
      </c>
    </row>
    <row r="728" spans="4:7" hidden="1" outlineLevel="1" x14ac:dyDescent="0.25">
      <c r="D728" t="s">
        <v>102</v>
      </c>
      <c r="E728">
        <v>1441</v>
      </c>
      <c r="F728" s="17">
        <v>0.8</v>
      </c>
      <c r="G728" s="17">
        <v>0.37761343118536878</v>
      </c>
    </row>
    <row r="729" spans="4:7" hidden="1" outlineLevel="1" x14ac:dyDescent="0.25">
      <c r="D729" t="s">
        <v>102</v>
      </c>
      <c r="E729">
        <v>1441</v>
      </c>
      <c r="F729" s="17">
        <v>1</v>
      </c>
      <c r="G729" s="17">
        <v>0.39478816603745331</v>
      </c>
    </row>
    <row r="730" spans="4:7" hidden="1" outlineLevel="1" x14ac:dyDescent="0.25">
      <c r="D730" t="s">
        <v>102</v>
      </c>
      <c r="E730">
        <v>1441</v>
      </c>
      <c r="F730" s="17">
        <v>1.2</v>
      </c>
      <c r="G730" s="17">
        <v>0.41196290088953785</v>
      </c>
    </row>
    <row r="731" spans="4:7" hidden="1" outlineLevel="1" x14ac:dyDescent="0.25">
      <c r="D731" t="s">
        <v>102</v>
      </c>
      <c r="E731">
        <v>1441</v>
      </c>
      <c r="F731" s="17">
        <v>1.4</v>
      </c>
      <c r="G731" s="17">
        <v>0.42913763574162228</v>
      </c>
    </row>
    <row r="732" spans="4:7" hidden="1" outlineLevel="1" x14ac:dyDescent="0.25">
      <c r="D732" t="s">
        <v>102</v>
      </c>
      <c r="E732">
        <v>1441</v>
      </c>
      <c r="F732" s="17">
        <v>1.5999999999999999</v>
      </c>
      <c r="G732" s="17">
        <v>0.44631237059370671</v>
      </c>
    </row>
    <row r="733" spans="4:7" hidden="1" outlineLevel="1" x14ac:dyDescent="0.25">
      <c r="D733" t="s">
        <v>102</v>
      </c>
      <c r="E733">
        <v>1441</v>
      </c>
      <c r="F733" s="17">
        <v>1.7999999999999998</v>
      </c>
      <c r="G733" s="17">
        <v>0.46348710544579119</v>
      </c>
    </row>
    <row r="734" spans="4:7" hidden="1" outlineLevel="1" x14ac:dyDescent="0.25">
      <c r="D734" t="s">
        <v>102</v>
      </c>
      <c r="E734">
        <v>1441</v>
      </c>
      <c r="F734" s="17">
        <v>1.9999999999999998</v>
      </c>
      <c r="G734" s="17">
        <v>0.48066184029787556</v>
      </c>
    </row>
    <row r="735" spans="4:7" hidden="1" outlineLevel="1" x14ac:dyDescent="0.25">
      <c r="D735" t="s">
        <v>102</v>
      </c>
      <c r="E735">
        <v>1441</v>
      </c>
      <c r="F735" s="17">
        <v>2.1999999999999997</v>
      </c>
      <c r="G735" s="17">
        <v>0.49783657514996005</v>
      </c>
    </row>
    <row r="736" spans="4:7" hidden="1" outlineLevel="1" x14ac:dyDescent="0.25">
      <c r="D736" t="s">
        <v>102</v>
      </c>
      <c r="E736">
        <v>1441</v>
      </c>
      <c r="F736" s="17">
        <v>2.4</v>
      </c>
      <c r="G736" s="17">
        <v>0.56905047817335186</v>
      </c>
    </row>
    <row r="737" spans="4:7" hidden="1" outlineLevel="1" x14ac:dyDescent="0.25">
      <c r="D737" t="s">
        <v>102</v>
      </c>
      <c r="E737">
        <v>1441</v>
      </c>
      <c r="F737" s="17">
        <v>2.6</v>
      </c>
      <c r="G737" s="17">
        <v>0.99988596407868469</v>
      </c>
    </row>
    <row r="738" spans="4:7" hidden="1" outlineLevel="1" x14ac:dyDescent="0.25">
      <c r="D738" t="s">
        <v>102</v>
      </c>
      <c r="E738">
        <v>1441</v>
      </c>
      <c r="F738" s="17">
        <v>2.8000000000000003</v>
      </c>
      <c r="G738" s="17">
        <v>0.99988596407868469</v>
      </c>
    </row>
    <row r="739" spans="4:7" hidden="1" outlineLevel="1" x14ac:dyDescent="0.25">
      <c r="D739" t="s">
        <v>102</v>
      </c>
      <c r="E739">
        <v>1441</v>
      </c>
      <c r="F739" s="17">
        <v>3.0000000000000004</v>
      </c>
      <c r="G739" s="17">
        <v>0.99988596407868469</v>
      </c>
    </row>
    <row r="740" spans="4:7" hidden="1" outlineLevel="1" x14ac:dyDescent="0.25">
      <c r="D740" t="s">
        <v>102</v>
      </c>
      <c r="E740">
        <v>1441</v>
      </c>
      <c r="F740" s="17">
        <v>3.2000000000000006</v>
      </c>
      <c r="G740" s="17">
        <v>0.99988596407868469</v>
      </c>
    </row>
    <row r="741" spans="4:7" hidden="1" outlineLevel="1" x14ac:dyDescent="0.25">
      <c r="D741" t="s">
        <v>102</v>
      </c>
      <c r="E741">
        <v>1441</v>
      </c>
      <c r="F741" s="17">
        <v>3.4000000000000008</v>
      </c>
      <c r="G741" s="17">
        <v>0.99988596407868469</v>
      </c>
    </row>
    <row r="742" spans="4:7" hidden="1" outlineLevel="1" x14ac:dyDescent="0.25">
      <c r="D742" t="s">
        <v>102</v>
      </c>
      <c r="E742">
        <v>1441</v>
      </c>
      <c r="F742" s="17">
        <v>3.600000000000001</v>
      </c>
      <c r="G742" s="17">
        <v>0.99988596407868469</v>
      </c>
    </row>
    <row r="743" spans="4:7" ht="15.75" hidden="1" customHeight="1" outlineLevel="1" x14ac:dyDescent="0.25">
      <c r="D743" t="s">
        <v>102</v>
      </c>
      <c r="E743">
        <v>1441</v>
      </c>
      <c r="F743" s="17">
        <v>3.8000000000000012</v>
      </c>
      <c r="G743" s="17">
        <v>0.99988596407868469</v>
      </c>
    </row>
    <row r="744" spans="4:7" hidden="1" outlineLevel="1" x14ac:dyDescent="0.25">
      <c r="D744" t="s">
        <v>102</v>
      </c>
      <c r="E744">
        <v>1441</v>
      </c>
      <c r="F744" s="17">
        <v>4.0000000000000009</v>
      </c>
      <c r="G744" s="17">
        <v>0.99988596407868469</v>
      </c>
    </row>
    <row r="745" spans="4:7" collapsed="1" x14ac:dyDescent="0.25"/>
    <row r="746" spans="4:7" x14ac:dyDescent="0.25">
      <c r="D746" s="18" t="s">
        <v>103</v>
      </c>
      <c r="E746" s="13">
        <v>1510</v>
      </c>
      <c r="F746" s="13"/>
      <c r="G746" s="13"/>
    </row>
    <row r="748" spans="4:7" x14ac:dyDescent="0.25">
      <c r="D748" s="18" t="s">
        <v>104</v>
      </c>
      <c r="E748" s="13">
        <v>1520</v>
      </c>
      <c r="F748" s="13"/>
      <c r="G748" s="13"/>
    </row>
    <row r="750" spans="4:7" x14ac:dyDescent="0.25">
      <c r="D750" s="18" t="s">
        <v>105</v>
      </c>
      <c r="E750" s="13">
        <v>1530</v>
      </c>
      <c r="F750" s="13"/>
      <c r="G750" s="13"/>
    </row>
    <row r="752" spans="4:7" x14ac:dyDescent="0.25">
      <c r="D752" s="18" t="s">
        <v>106</v>
      </c>
      <c r="E752" s="13">
        <v>1540</v>
      </c>
      <c r="F752" s="13"/>
      <c r="G752" s="13"/>
    </row>
    <row r="754" spans="2:7" x14ac:dyDescent="0.25">
      <c r="D754" s="18" t="s">
        <v>107</v>
      </c>
      <c r="E754" s="13">
        <v>1550</v>
      </c>
      <c r="F754" s="13"/>
      <c r="G754" s="13"/>
    </row>
    <row r="755" spans="2:7" x14ac:dyDescent="0.25">
      <c r="D755" s="16"/>
      <c r="E755" s="16"/>
      <c r="F755" s="16"/>
      <c r="G755" s="16"/>
    </row>
    <row r="756" spans="2:7" x14ac:dyDescent="0.25">
      <c r="B756" s="11" t="s">
        <v>51</v>
      </c>
    </row>
    <row r="757" spans="2:7" x14ac:dyDescent="0.25">
      <c r="B757" s="11"/>
      <c r="D757" s="13" t="s">
        <v>108</v>
      </c>
      <c r="E757" s="13">
        <v>2341</v>
      </c>
      <c r="F757" s="13" t="s">
        <v>54</v>
      </c>
      <c r="G757" s="13" t="s">
        <v>46</v>
      </c>
    </row>
    <row r="758" spans="2:7" hidden="1" outlineLevel="1" x14ac:dyDescent="0.25">
      <c r="B758" s="11"/>
      <c r="D758" s="16" t="s">
        <v>108</v>
      </c>
      <c r="E758" s="16">
        <v>2341</v>
      </c>
      <c r="F758" s="16">
        <v>0</v>
      </c>
      <c r="G758" s="17">
        <v>0</v>
      </c>
    </row>
    <row r="759" spans="2:7" hidden="1" outlineLevel="1" x14ac:dyDescent="0.25">
      <c r="B759" s="11"/>
      <c r="D759" s="16" t="s">
        <v>108</v>
      </c>
      <c r="E759" s="16">
        <v>2341</v>
      </c>
      <c r="F759" s="16">
        <v>50</v>
      </c>
      <c r="G759" s="17">
        <v>0</v>
      </c>
    </row>
    <row r="760" spans="2:7" hidden="1" outlineLevel="1" x14ac:dyDescent="0.25">
      <c r="B760" s="11"/>
      <c r="D760" s="16" t="s">
        <v>108</v>
      </c>
      <c r="E760" s="16">
        <v>2341</v>
      </c>
      <c r="F760" s="16">
        <v>100</v>
      </c>
      <c r="G760" s="17">
        <v>0</v>
      </c>
    </row>
    <row r="761" spans="2:7" hidden="1" outlineLevel="1" x14ac:dyDescent="0.25">
      <c r="B761" s="11"/>
      <c r="D761" s="16" t="s">
        <v>108</v>
      </c>
      <c r="E761" s="16">
        <v>2341</v>
      </c>
      <c r="F761" s="16">
        <v>150</v>
      </c>
      <c r="G761" s="17">
        <v>0.02</v>
      </c>
    </row>
    <row r="762" spans="2:7" hidden="1" outlineLevel="1" x14ac:dyDescent="0.25">
      <c r="B762" s="11"/>
      <c r="D762" s="16" t="s">
        <v>108</v>
      </c>
      <c r="E762" s="16">
        <v>2341</v>
      </c>
      <c r="F762" s="16">
        <v>200</v>
      </c>
      <c r="G762" s="17">
        <v>0.1</v>
      </c>
    </row>
    <row r="763" spans="2:7" hidden="1" outlineLevel="1" x14ac:dyDescent="0.25">
      <c r="B763" s="11"/>
      <c r="D763" s="16" t="s">
        <v>108</v>
      </c>
      <c r="E763" s="16">
        <v>2341</v>
      </c>
      <c r="F763" s="16">
        <v>250</v>
      </c>
      <c r="G763" s="17">
        <v>0.21</v>
      </c>
    </row>
    <row r="764" spans="2:7" hidden="1" outlineLevel="1" x14ac:dyDescent="0.25">
      <c r="B764" s="11"/>
      <c r="D764" s="16" t="s">
        <v>108</v>
      </c>
      <c r="E764" s="16">
        <v>2341</v>
      </c>
      <c r="F764" s="16">
        <v>300</v>
      </c>
      <c r="G764" s="17">
        <v>0.35</v>
      </c>
    </row>
    <row r="765" spans="2:7" hidden="1" outlineLevel="1" x14ac:dyDescent="0.25">
      <c r="B765" s="11"/>
      <c r="D765" s="16" t="s">
        <v>108</v>
      </c>
      <c r="E765" s="16">
        <v>2341</v>
      </c>
      <c r="F765" s="16">
        <v>350</v>
      </c>
      <c r="G765" s="17">
        <v>0.78</v>
      </c>
    </row>
    <row r="766" spans="2:7" hidden="1" outlineLevel="1" x14ac:dyDescent="0.25">
      <c r="B766" s="11"/>
      <c r="D766" s="16" t="s">
        <v>108</v>
      </c>
      <c r="E766" s="16">
        <v>2341</v>
      </c>
      <c r="F766" s="16">
        <v>400</v>
      </c>
      <c r="G766" s="17">
        <v>1</v>
      </c>
    </row>
    <row r="767" spans="2:7" collapsed="1" x14ac:dyDescent="0.25">
      <c r="B767" s="11"/>
      <c r="D767" s="15"/>
      <c r="E767" s="15"/>
      <c r="F767" s="15"/>
    </row>
    <row r="768" spans="2:7" x14ac:dyDescent="0.25">
      <c r="B768" s="11"/>
      <c r="D768" s="13" t="s">
        <v>109</v>
      </c>
      <c r="E768" s="13">
        <v>2342</v>
      </c>
      <c r="F768" s="13" t="s">
        <v>54</v>
      </c>
      <c r="G768" s="13" t="s">
        <v>46</v>
      </c>
    </row>
    <row r="769" spans="2:7" hidden="1" outlineLevel="1" x14ac:dyDescent="0.25">
      <c r="B769" s="11"/>
      <c r="D769" s="16" t="s">
        <v>109</v>
      </c>
      <c r="E769" s="16">
        <v>2342</v>
      </c>
      <c r="F769" s="16">
        <v>0</v>
      </c>
      <c r="G769" s="17">
        <v>0</v>
      </c>
    </row>
    <row r="770" spans="2:7" hidden="1" outlineLevel="1" x14ac:dyDescent="0.25">
      <c r="B770" s="11"/>
      <c r="D770" s="16" t="s">
        <v>109</v>
      </c>
      <c r="E770" s="16">
        <v>2342</v>
      </c>
      <c r="F770" s="16">
        <v>50</v>
      </c>
      <c r="G770" s="17">
        <v>0</v>
      </c>
    </row>
    <row r="771" spans="2:7" hidden="1" outlineLevel="1" x14ac:dyDescent="0.25">
      <c r="B771" s="11"/>
      <c r="D771" s="16" t="s">
        <v>109</v>
      </c>
      <c r="E771" s="16">
        <v>2342</v>
      </c>
      <c r="F771" s="16">
        <v>100</v>
      </c>
      <c r="G771" s="17">
        <v>0</v>
      </c>
    </row>
    <row r="772" spans="2:7" hidden="1" outlineLevel="1" x14ac:dyDescent="0.25">
      <c r="B772" s="11"/>
      <c r="D772" s="16" t="s">
        <v>109</v>
      </c>
      <c r="E772" s="16">
        <v>2342</v>
      </c>
      <c r="F772" s="16">
        <v>150</v>
      </c>
      <c r="G772" s="17">
        <v>0.01</v>
      </c>
    </row>
    <row r="773" spans="2:7" hidden="1" outlineLevel="1" x14ac:dyDescent="0.25">
      <c r="B773" s="11"/>
      <c r="D773" s="16" t="s">
        <v>109</v>
      </c>
      <c r="E773" s="16">
        <v>2342</v>
      </c>
      <c r="F773" s="16">
        <v>200</v>
      </c>
      <c r="G773" s="17">
        <v>0.08</v>
      </c>
    </row>
    <row r="774" spans="2:7" hidden="1" outlineLevel="1" x14ac:dyDescent="0.25">
      <c r="B774" s="11"/>
      <c r="D774" s="16" t="s">
        <v>109</v>
      </c>
      <c r="E774" s="16">
        <v>2342</v>
      </c>
      <c r="F774" s="16">
        <v>250</v>
      </c>
      <c r="G774" s="17">
        <v>0.18</v>
      </c>
    </row>
    <row r="775" spans="2:7" hidden="1" outlineLevel="1" x14ac:dyDescent="0.25">
      <c r="B775" s="11"/>
      <c r="D775" s="16" t="s">
        <v>109</v>
      </c>
      <c r="E775" s="16">
        <v>2342</v>
      </c>
      <c r="F775" s="16">
        <v>300</v>
      </c>
      <c r="G775" s="17">
        <v>0.32</v>
      </c>
    </row>
    <row r="776" spans="2:7" hidden="1" outlineLevel="1" x14ac:dyDescent="0.25">
      <c r="B776" s="11"/>
      <c r="D776" s="16" t="s">
        <v>109</v>
      </c>
      <c r="E776" s="16">
        <v>2342</v>
      </c>
      <c r="F776" s="16">
        <v>350</v>
      </c>
      <c r="G776" s="17">
        <v>0.74</v>
      </c>
    </row>
    <row r="777" spans="2:7" hidden="1" outlineLevel="1" x14ac:dyDescent="0.25">
      <c r="B777" s="11"/>
      <c r="D777" s="16" t="s">
        <v>109</v>
      </c>
      <c r="E777" s="16">
        <v>2342</v>
      </c>
      <c r="F777" s="16">
        <v>400</v>
      </c>
      <c r="G777" s="17">
        <v>1</v>
      </c>
    </row>
    <row r="778" spans="2:7" collapsed="1" x14ac:dyDescent="0.25">
      <c r="B778" s="11"/>
      <c r="D778" s="15"/>
      <c r="E778" s="15"/>
    </row>
    <row r="779" spans="2:7" x14ac:dyDescent="0.25">
      <c r="B779" s="11"/>
      <c r="D779" s="13" t="s">
        <v>110</v>
      </c>
      <c r="E779" s="13">
        <v>2343</v>
      </c>
      <c r="F779" s="13" t="s">
        <v>54</v>
      </c>
      <c r="G779" s="13" t="s">
        <v>46</v>
      </c>
    </row>
    <row r="780" spans="2:7" hidden="1" outlineLevel="1" x14ac:dyDescent="0.25">
      <c r="B780" s="11"/>
      <c r="D780" s="16" t="s">
        <v>110</v>
      </c>
      <c r="E780" s="16">
        <v>2343</v>
      </c>
      <c r="F780" s="16">
        <v>0</v>
      </c>
      <c r="G780" s="17">
        <v>0</v>
      </c>
    </row>
    <row r="781" spans="2:7" hidden="1" outlineLevel="1" x14ac:dyDescent="0.25">
      <c r="B781" s="11"/>
      <c r="D781" s="16" t="s">
        <v>110</v>
      </c>
      <c r="E781" s="16">
        <v>2343</v>
      </c>
      <c r="F781" s="16">
        <v>50</v>
      </c>
      <c r="G781" s="17">
        <v>0</v>
      </c>
    </row>
    <row r="782" spans="2:7" hidden="1" outlineLevel="1" x14ac:dyDescent="0.25">
      <c r="B782" s="11"/>
      <c r="D782" s="16" t="s">
        <v>110</v>
      </c>
      <c r="E782" s="16">
        <v>2343</v>
      </c>
      <c r="F782" s="16">
        <v>100</v>
      </c>
      <c r="G782" s="17">
        <v>0</v>
      </c>
    </row>
    <row r="783" spans="2:7" hidden="1" outlineLevel="1" x14ac:dyDescent="0.25">
      <c r="B783" s="11"/>
      <c r="D783" s="16" t="s">
        <v>110</v>
      </c>
      <c r="E783" s="16">
        <v>2343</v>
      </c>
      <c r="F783" s="16">
        <v>150</v>
      </c>
      <c r="G783" s="17">
        <v>0.03</v>
      </c>
    </row>
    <row r="784" spans="2:7" hidden="1" outlineLevel="1" x14ac:dyDescent="0.25">
      <c r="B784" s="11"/>
      <c r="D784" s="16" t="s">
        <v>110</v>
      </c>
      <c r="E784" s="16">
        <v>2343</v>
      </c>
      <c r="F784" s="16">
        <v>200</v>
      </c>
      <c r="G784" s="17">
        <v>0.12</v>
      </c>
    </row>
    <row r="785" spans="2:7" hidden="1" outlineLevel="1" x14ac:dyDescent="0.25">
      <c r="B785" s="11"/>
      <c r="D785" s="16" t="s">
        <v>110</v>
      </c>
      <c r="E785" s="16">
        <v>2343</v>
      </c>
      <c r="F785" s="16">
        <v>250</v>
      </c>
      <c r="G785" s="17">
        <v>0.25</v>
      </c>
    </row>
    <row r="786" spans="2:7" hidden="1" outlineLevel="1" x14ac:dyDescent="0.25">
      <c r="B786" s="11"/>
      <c r="D786" s="16" t="s">
        <v>110</v>
      </c>
      <c r="E786" s="16">
        <v>2343</v>
      </c>
      <c r="F786" s="16">
        <v>300</v>
      </c>
      <c r="G786" s="17">
        <v>0.45</v>
      </c>
    </row>
    <row r="787" spans="2:7" hidden="1" outlineLevel="1" x14ac:dyDescent="0.25">
      <c r="B787" s="11"/>
      <c r="D787" s="16" t="s">
        <v>110</v>
      </c>
      <c r="E787" s="16">
        <v>2343</v>
      </c>
      <c r="F787" s="16">
        <v>350</v>
      </c>
      <c r="G787" s="17">
        <v>0.9</v>
      </c>
    </row>
    <row r="788" spans="2:7" hidden="1" outlineLevel="1" x14ac:dyDescent="0.25">
      <c r="B788" s="11"/>
      <c r="D788" s="16" t="s">
        <v>110</v>
      </c>
      <c r="E788" s="16">
        <v>2343</v>
      </c>
      <c r="F788" s="16">
        <v>400</v>
      </c>
      <c r="G788" s="17">
        <v>1</v>
      </c>
    </row>
    <row r="789" spans="2:7" collapsed="1" x14ac:dyDescent="0.25">
      <c r="B789" s="11"/>
      <c r="D789" s="15"/>
      <c r="E789" s="15"/>
    </row>
    <row r="790" spans="2:7" x14ac:dyDescent="0.25">
      <c r="B790" s="11"/>
      <c r="D790" s="13" t="s">
        <v>111</v>
      </c>
      <c r="E790" s="13">
        <v>2344</v>
      </c>
      <c r="F790" s="13" t="s">
        <v>54</v>
      </c>
      <c r="G790" s="13" t="s">
        <v>46</v>
      </c>
    </row>
    <row r="791" spans="2:7" hidden="1" outlineLevel="1" x14ac:dyDescent="0.25">
      <c r="B791" s="11"/>
      <c r="D791" s="16" t="s">
        <v>111</v>
      </c>
      <c r="E791" s="16">
        <v>2344</v>
      </c>
      <c r="F791" s="16">
        <v>0</v>
      </c>
      <c r="G791" s="17">
        <v>0</v>
      </c>
    </row>
    <row r="792" spans="2:7" hidden="1" outlineLevel="1" x14ac:dyDescent="0.25">
      <c r="B792" s="11"/>
      <c r="D792" s="16" t="s">
        <v>111</v>
      </c>
      <c r="E792" s="16">
        <v>2344</v>
      </c>
      <c r="F792" s="16">
        <v>50</v>
      </c>
      <c r="G792" s="17">
        <v>0</v>
      </c>
    </row>
    <row r="793" spans="2:7" hidden="1" outlineLevel="1" x14ac:dyDescent="0.25">
      <c r="B793" s="11"/>
      <c r="D793" s="16" t="s">
        <v>111</v>
      </c>
      <c r="E793" s="16">
        <v>2344</v>
      </c>
      <c r="F793" s="16">
        <v>100</v>
      </c>
      <c r="G793" s="17">
        <v>0</v>
      </c>
    </row>
    <row r="794" spans="2:7" hidden="1" outlineLevel="1" x14ac:dyDescent="0.25">
      <c r="B794" s="11"/>
      <c r="D794" s="16" t="s">
        <v>111</v>
      </c>
      <c r="E794" s="16">
        <v>2344</v>
      </c>
      <c r="F794" s="16">
        <v>150</v>
      </c>
      <c r="G794" s="17">
        <v>0</v>
      </c>
    </row>
    <row r="795" spans="2:7" hidden="1" outlineLevel="1" x14ac:dyDescent="0.25">
      <c r="B795" s="11"/>
      <c r="D795" s="16" t="s">
        <v>111</v>
      </c>
      <c r="E795" s="16">
        <v>2344</v>
      </c>
      <c r="F795" s="16">
        <v>200</v>
      </c>
      <c r="G795" s="17">
        <v>0.05</v>
      </c>
    </row>
    <row r="796" spans="2:7" hidden="1" outlineLevel="1" x14ac:dyDescent="0.25">
      <c r="B796" s="11"/>
      <c r="D796" s="16" t="s">
        <v>111</v>
      </c>
      <c r="E796" s="16">
        <v>2344</v>
      </c>
      <c r="F796" s="16">
        <v>250</v>
      </c>
      <c r="G796" s="17">
        <v>0.14000000000000001</v>
      </c>
    </row>
    <row r="797" spans="2:7" hidden="1" outlineLevel="1" x14ac:dyDescent="0.25">
      <c r="B797" s="11"/>
      <c r="D797" s="16" t="s">
        <v>111</v>
      </c>
      <c r="E797" s="16">
        <v>2344</v>
      </c>
      <c r="F797" s="16">
        <v>300</v>
      </c>
      <c r="G797" s="17">
        <v>0.27</v>
      </c>
    </row>
    <row r="798" spans="2:7" hidden="1" outlineLevel="1" x14ac:dyDescent="0.25">
      <c r="B798" s="11"/>
      <c r="D798" s="16" t="s">
        <v>111</v>
      </c>
      <c r="E798" s="16">
        <v>2344</v>
      </c>
      <c r="F798" s="16">
        <v>350</v>
      </c>
      <c r="G798" s="17">
        <v>0.67</v>
      </c>
    </row>
    <row r="799" spans="2:7" hidden="1" outlineLevel="1" x14ac:dyDescent="0.25">
      <c r="B799" s="11"/>
      <c r="D799" s="16" t="s">
        <v>111</v>
      </c>
      <c r="E799" s="16">
        <v>2344</v>
      </c>
      <c r="F799" s="16">
        <v>400</v>
      </c>
      <c r="G799" s="17">
        <v>1</v>
      </c>
    </row>
    <row r="800" spans="2:7" collapsed="1" x14ac:dyDescent="0.25">
      <c r="B800" s="11"/>
      <c r="D800" s="15"/>
      <c r="E800" s="15"/>
    </row>
    <row r="801" spans="2:7" x14ac:dyDescent="0.25">
      <c r="B801" s="11"/>
      <c r="D801" s="13" t="s">
        <v>112</v>
      </c>
      <c r="E801" s="13">
        <v>2345</v>
      </c>
      <c r="F801" s="13" t="s">
        <v>54</v>
      </c>
      <c r="G801" s="13" t="s">
        <v>46</v>
      </c>
    </row>
    <row r="802" spans="2:7" hidden="1" outlineLevel="1" x14ac:dyDescent="0.25">
      <c r="B802" s="11"/>
      <c r="D802" s="16" t="s">
        <v>112</v>
      </c>
      <c r="E802" s="16">
        <v>2345</v>
      </c>
      <c r="F802" s="16">
        <v>0</v>
      </c>
      <c r="G802" s="17">
        <v>0</v>
      </c>
    </row>
    <row r="803" spans="2:7" hidden="1" outlineLevel="1" x14ac:dyDescent="0.25">
      <c r="B803" s="11"/>
      <c r="D803" s="16" t="s">
        <v>112</v>
      </c>
      <c r="E803" s="16">
        <v>2345</v>
      </c>
      <c r="F803" s="16">
        <v>50</v>
      </c>
      <c r="G803" s="17">
        <v>0</v>
      </c>
    </row>
    <row r="804" spans="2:7" hidden="1" outlineLevel="1" x14ac:dyDescent="0.25">
      <c r="B804" s="11"/>
      <c r="D804" s="16" t="s">
        <v>112</v>
      </c>
      <c r="E804" s="16">
        <v>2345</v>
      </c>
      <c r="F804" s="16">
        <v>100</v>
      </c>
      <c r="G804" s="17">
        <v>0</v>
      </c>
    </row>
    <row r="805" spans="2:7" hidden="1" outlineLevel="1" x14ac:dyDescent="0.25">
      <c r="B805" s="11"/>
      <c r="D805" s="16" t="s">
        <v>112</v>
      </c>
      <c r="E805" s="16">
        <v>2345</v>
      </c>
      <c r="F805" s="16">
        <v>150</v>
      </c>
      <c r="G805" s="17">
        <v>0</v>
      </c>
    </row>
    <row r="806" spans="2:7" hidden="1" outlineLevel="1" x14ac:dyDescent="0.25">
      <c r="B806" s="11"/>
      <c r="D806" s="16" t="s">
        <v>112</v>
      </c>
      <c r="E806" s="16">
        <v>2345</v>
      </c>
      <c r="F806" s="16">
        <v>200</v>
      </c>
      <c r="G806" s="17">
        <v>0.04</v>
      </c>
    </row>
    <row r="807" spans="2:7" hidden="1" outlineLevel="1" x14ac:dyDescent="0.25">
      <c r="B807" s="11"/>
      <c r="D807" s="16" t="s">
        <v>112</v>
      </c>
      <c r="E807" s="16">
        <v>2345</v>
      </c>
      <c r="F807" s="16">
        <v>250</v>
      </c>
      <c r="G807" s="17">
        <v>0.12</v>
      </c>
    </row>
    <row r="808" spans="2:7" hidden="1" outlineLevel="1" x14ac:dyDescent="0.25">
      <c r="B808" s="11"/>
      <c r="D808" s="16" t="s">
        <v>112</v>
      </c>
      <c r="E808" s="16">
        <v>2345</v>
      </c>
      <c r="F808" s="16">
        <v>300</v>
      </c>
      <c r="G808" s="17">
        <v>0.25</v>
      </c>
    </row>
    <row r="809" spans="2:7" hidden="1" outlineLevel="1" x14ac:dyDescent="0.25">
      <c r="B809" s="11"/>
      <c r="D809" s="16" t="s">
        <v>112</v>
      </c>
      <c r="E809" s="16">
        <v>2345</v>
      </c>
      <c r="F809" s="16">
        <v>350</v>
      </c>
      <c r="G809" s="17">
        <v>0.62</v>
      </c>
    </row>
    <row r="810" spans="2:7" hidden="1" outlineLevel="1" x14ac:dyDescent="0.25">
      <c r="B810" s="11"/>
      <c r="D810" s="16" t="s">
        <v>112</v>
      </c>
      <c r="E810" s="16">
        <v>2345</v>
      </c>
      <c r="F810" s="16">
        <v>400</v>
      </c>
      <c r="G810" s="17">
        <v>1</v>
      </c>
    </row>
    <row r="811" spans="2:7" collapsed="1" x14ac:dyDescent="0.25">
      <c r="B811" s="11"/>
      <c r="D811" s="15"/>
      <c r="E811" s="15"/>
    </row>
    <row r="812" spans="2:7" x14ac:dyDescent="0.25">
      <c r="B812" s="11"/>
      <c r="D812" s="13" t="s">
        <v>113</v>
      </c>
      <c r="E812" s="13">
        <v>2346</v>
      </c>
      <c r="F812" s="13" t="s">
        <v>54</v>
      </c>
      <c r="G812" s="13" t="s">
        <v>46</v>
      </c>
    </row>
    <row r="813" spans="2:7" hidden="1" outlineLevel="1" x14ac:dyDescent="0.25">
      <c r="B813" s="11"/>
      <c r="D813" s="16" t="s">
        <v>113</v>
      </c>
      <c r="E813" s="16">
        <v>2346</v>
      </c>
      <c r="F813" s="16">
        <v>0</v>
      </c>
      <c r="G813" s="17">
        <v>0</v>
      </c>
    </row>
    <row r="814" spans="2:7" hidden="1" outlineLevel="1" x14ac:dyDescent="0.25">
      <c r="B814" s="11"/>
      <c r="D814" s="16" t="s">
        <v>113</v>
      </c>
      <c r="E814" s="16">
        <v>2346</v>
      </c>
      <c r="F814" s="16">
        <v>50</v>
      </c>
      <c r="G814" s="17">
        <v>0</v>
      </c>
    </row>
    <row r="815" spans="2:7" hidden="1" outlineLevel="1" x14ac:dyDescent="0.25">
      <c r="B815" s="11"/>
      <c r="D815" s="16" t="s">
        <v>113</v>
      </c>
      <c r="E815" s="16">
        <v>2346</v>
      </c>
      <c r="F815" s="16">
        <v>100</v>
      </c>
      <c r="G815" s="17">
        <v>0</v>
      </c>
    </row>
    <row r="816" spans="2:7" hidden="1" outlineLevel="1" x14ac:dyDescent="0.25">
      <c r="B816" s="11"/>
      <c r="D816" s="16" t="s">
        <v>113</v>
      </c>
      <c r="E816" s="16">
        <v>2346</v>
      </c>
      <c r="F816" s="16">
        <v>150</v>
      </c>
      <c r="G816" s="17">
        <v>1.2E-2</v>
      </c>
    </row>
    <row r="817" spans="2:7" hidden="1" outlineLevel="1" x14ac:dyDescent="0.25">
      <c r="B817" s="11"/>
      <c r="D817" s="16" t="s">
        <v>113</v>
      </c>
      <c r="E817" s="16">
        <v>2346</v>
      </c>
      <c r="F817" s="16">
        <v>200</v>
      </c>
      <c r="G817" s="17">
        <v>7.7999999999999986E-2</v>
      </c>
    </row>
    <row r="818" spans="2:7" hidden="1" outlineLevel="1" x14ac:dyDescent="0.25">
      <c r="B818" s="11"/>
      <c r="D818" s="16" t="s">
        <v>113</v>
      </c>
      <c r="E818" s="16">
        <v>2346</v>
      </c>
      <c r="F818" s="16">
        <v>250</v>
      </c>
      <c r="G818" s="17">
        <v>0.18</v>
      </c>
    </row>
    <row r="819" spans="2:7" hidden="1" outlineLevel="1" x14ac:dyDescent="0.25">
      <c r="B819" s="11"/>
      <c r="D819" s="16" t="s">
        <v>113</v>
      </c>
      <c r="E819" s="16">
        <v>2346</v>
      </c>
      <c r="F819" s="16">
        <v>300</v>
      </c>
      <c r="G819" s="17">
        <v>0.32799999999999996</v>
      </c>
    </row>
    <row r="820" spans="2:7" hidden="1" outlineLevel="1" x14ac:dyDescent="0.25">
      <c r="B820" s="11"/>
      <c r="D820" s="16" t="s">
        <v>113</v>
      </c>
      <c r="E820" s="16">
        <v>2346</v>
      </c>
      <c r="F820" s="16">
        <v>350</v>
      </c>
      <c r="G820" s="17">
        <v>0.74199999999999999</v>
      </c>
    </row>
    <row r="821" spans="2:7" hidden="1" outlineLevel="1" x14ac:dyDescent="0.25">
      <c r="B821" s="11"/>
      <c r="D821" s="16" t="s">
        <v>113</v>
      </c>
      <c r="E821" s="16">
        <v>2346</v>
      </c>
      <c r="F821" s="16">
        <v>400</v>
      </c>
      <c r="G821" s="17">
        <v>1</v>
      </c>
    </row>
    <row r="822" spans="2:7" collapsed="1" x14ac:dyDescent="0.25">
      <c r="B822" s="11"/>
    </row>
    <row r="823" spans="2:7" x14ac:dyDescent="0.25">
      <c r="B823" s="11"/>
      <c r="D823" s="13" t="s">
        <v>114</v>
      </c>
      <c r="E823" s="13">
        <v>2350</v>
      </c>
      <c r="F823" s="13" t="s">
        <v>54</v>
      </c>
      <c r="G823" s="13" t="s">
        <v>46</v>
      </c>
    </row>
    <row r="824" spans="2:7" hidden="1" outlineLevel="1" x14ac:dyDescent="0.25">
      <c r="B824" s="11"/>
      <c r="D824" s="16" t="s">
        <v>114</v>
      </c>
      <c r="E824" s="16">
        <v>2350</v>
      </c>
      <c r="F824" s="16">
        <v>0</v>
      </c>
      <c r="G824" s="17">
        <v>0</v>
      </c>
    </row>
    <row r="825" spans="2:7" hidden="1" outlineLevel="1" x14ac:dyDescent="0.25">
      <c r="B825" s="11"/>
      <c r="D825" s="16" t="s">
        <v>114</v>
      </c>
      <c r="E825" s="16">
        <v>2350</v>
      </c>
      <c r="F825" s="16">
        <v>50</v>
      </c>
      <c r="G825" s="17">
        <v>0</v>
      </c>
    </row>
    <row r="826" spans="2:7" hidden="1" outlineLevel="1" x14ac:dyDescent="0.25">
      <c r="B826" s="11"/>
      <c r="D826" s="16" t="s">
        <v>114</v>
      </c>
      <c r="E826" s="16">
        <v>2350</v>
      </c>
      <c r="F826" s="16">
        <v>100</v>
      </c>
      <c r="G826" s="17">
        <v>0</v>
      </c>
    </row>
    <row r="827" spans="2:7" hidden="1" outlineLevel="1" x14ac:dyDescent="0.25">
      <c r="B827" s="11"/>
      <c r="D827" s="16" t="s">
        <v>114</v>
      </c>
      <c r="E827" s="16">
        <v>2350</v>
      </c>
      <c r="F827" s="16">
        <v>150</v>
      </c>
      <c r="G827" s="17">
        <v>0.03</v>
      </c>
    </row>
    <row r="828" spans="2:7" hidden="1" outlineLevel="1" x14ac:dyDescent="0.25">
      <c r="B828" s="11"/>
      <c r="D828" s="16" t="s">
        <v>114</v>
      </c>
      <c r="E828" s="16">
        <v>2350</v>
      </c>
      <c r="F828" s="16">
        <v>200</v>
      </c>
      <c r="G828" s="17">
        <v>0.09</v>
      </c>
    </row>
    <row r="829" spans="2:7" hidden="1" outlineLevel="1" x14ac:dyDescent="0.25">
      <c r="B829" s="11"/>
      <c r="D829" s="16" t="s">
        <v>114</v>
      </c>
      <c r="E829" s="16">
        <v>2350</v>
      </c>
      <c r="F829" s="16">
        <v>250</v>
      </c>
      <c r="G829" s="17">
        <v>0.16</v>
      </c>
    </row>
    <row r="830" spans="2:7" hidden="1" outlineLevel="1" x14ac:dyDescent="0.25">
      <c r="B830" s="11"/>
      <c r="D830" s="16" t="s">
        <v>114</v>
      </c>
      <c r="E830" s="16">
        <v>2350</v>
      </c>
      <c r="F830" s="16">
        <v>300</v>
      </c>
      <c r="G830" s="17">
        <v>0.5</v>
      </c>
    </row>
    <row r="831" spans="2:7" hidden="1" outlineLevel="1" x14ac:dyDescent="0.25">
      <c r="B831" s="11"/>
      <c r="D831" s="16" t="s">
        <v>114</v>
      </c>
      <c r="E831" s="16">
        <v>2350</v>
      </c>
      <c r="F831" s="16">
        <v>350</v>
      </c>
      <c r="G831" s="17">
        <v>0.85</v>
      </c>
    </row>
    <row r="832" spans="2:7" hidden="1" outlineLevel="1" x14ac:dyDescent="0.25">
      <c r="B832" s="11"/>
      <c r="D832" s="16" t="s">
        <v>114</v>
      </c>
      <c r="E832" s="16">
        <v>2350</v>
      </c>
      <c r="F832" s="16">
        <v>400</v>
      </c>
      <c r="G832" s="17">
        <v>1</v>
      </c>
    </row>
    <row r="833" spans="2:7" collapsed="1" x14ac:dyDescent="0.25">
      <c r="B833" s="11"/>
      <c r="D833" s="15"/>
      <c r="E833" s="15"/>
    </row>
    <row r="834" spans="2:7" ht="15.75" customHeight="1" collapsed="1" x14ac:dyDescent="0.25">
      <c r="B834" s="11"/>
      <c r="D834" s="13" t="s">
        <v>115</v>
      </c>
      <c r="E834" s="13">
        <v>2360</v>
      </c>
      <c r="F834" s="13" t="s">
        <v>54</v>
      </c>
      <c r="G834" s="13" t="s">
        <v>46</v>
      </c>
    </row>
    <row r="835" spans="2:7" hidden="1" outlineLevel="1" x14ac:dyDescent="0.25">
      <c r="B835" s="11"/>
      <c r="D835" s="16" t="s">
        <v>115</v>
      </c>
      <c r="E835" s="16">
        <v>2360</v>
      </c>
      <c r="F835" s="16">
        <v>0</v>
      </c>
      <c r="G835" s="17">
        <v>0</v>
      </c>
    </row>
    <row r="836" spans="2:7" hidden="1" outlineLevel="1" x14ac:dyDescent="0.25">
      <c r="B836" s="11"/>
      <c r="D836" s="16" t="s">
        <v>115</v>
      </c>
      <c r="E836" s="16">
        <v>2360</v>
      </c>
      <c r="F836" s="16">
        <v>50</v>
      </c>
      <c r="G836" s="17">
        <v>0</v>
      </c>
    </row>
    <row r="837" spans="2:7" hidden="1" outlineLevel="1" x14ac:dyDescent="0.25">
      <c r="B837" s="11"/>
      <c r="D837" s="16" t="s">
        <v>115</v>
      </c>
      <c r="E837" s="16">
        <v>2360</v>
      </c>
      <c r="F837" s="16">
        <v>100</v>
      </c>
      <c r="G837" s="17">
        <v>0</v>
      </c>
    </row>
    <row r="838" spans="2:7" hidden="1" outlineLevel="1" x14ac:dyDescent="0.25">
      <c r="B838" s="11"/>
      <c r="D838" s="16" t="s">
        <v>115</v>
      </c>
      <c r="E838" s="16">
        <v>2360</v>
      </c>
      <c r="F838" s="16">
        <v>150</v>
      </c>
      <c r="G838" s="17">
        <v>0.02</v>
      </c>
    </row>
    <row r="839" spans="2:7" hidden="1" outlineLevel="1" x14ac:dyDescent="0.25">
      <c r="B839" s="11"/>
      <c r="D839" s="16" t="s">
        <v>115</v>
      </c>
      <c r="E839" s="16">
        <v>2360</v>
      </c>
      <c r="F839" s="16">
        <v>200</v>
      </c>
      <c r="G839" s="17">
        <v>7.0000000000000007E-2</v>
      </c>
    </row>
    <row r="840" spans="2:7" hidden="1" outlineLevel="1" x14ac:dyDescent="0.25">
      <c r="B840" s="11"/>
      <c r="D840" s="16" t="s">
        <v>115</v>
      </c>
      <c r="E840" s="16">
        <v>2360</v>
      </c>
      <c r="F840" s="16">
        <v>250</v>
      </c>
      <c r="G840" s="17">
        <v>0.12</v>
      </c>
    </row>
    <row r="841" spans="2:7" hidden="1" outlineLevel="1" x14ac:dyDescent="0.25">
      <c r="B841" s="11"/>
      <c r="D841" s="16" t="s">
        <v>115</v>
      </c>
      <c r="E841" s="16">
        <v>2360</v>
      </c>
      <c r="F841" s="16">
        <v>300</v>
      </c>
      <c r="G841" s="17">
        <v>0.4</v>
      </c>
    </row>
    <row r="842" spans="2:7" hidden="1" outlineLevel="1" x14ac:dyDescent="0.25">
      <c r="B842" s="11"/>
      <c r="D842" s="16" t="s">
        <v>115</v>
      </c>
      <c r="E842" s="16">
        <v>2360</v>
      </c>
      <c r="F842" s="16">
        <v>350</v>
      </c>
      <c r="G842" s="17">
        <v>0.81</v>
      </c>
    </row>
    <row r="843" spans="2:7" hidden="1" outlineLevel="1" x14ac:dyDescent="0.25">
      <c r="B843" s="11"/>
      <c r="D843" s="16" t="s">
        <v>115</v>
      </c>
      <c r="E843" s="16">
        <v>2360</v>
      </c>
      <c r="F843" s="16">
        <v>400</v>
      </c>
      <c r="G843" s="17">
        <v>1</v>
      </c>
    </row>
    <row r="844" spans="2:7" ht="15.75" customHeight="1" collapsed="1" x14ac:dyDescent="0.25">
      <c r="B844" s="11"/>
      <c r="D844" s="15"/>
      <c r="E844" s="15"/>
    </row>
    <row r="845" spans="2:7" ht="15.75" customHeight="1" collapsed="1" x14ac:dyDescent="0.25">
      <c r="B845" s="11"/>
      <c r="D845" s="13" t="s">
        <v>116</v>
      </c>
      <c r="E845" s="13">
        <v>2370</v>
      </c>
      <c r="F845" s="13" t="s">
        <v>54</v>
      </c>
      <c r="G845" s="13" t="s">
        <v>46</v>
      </c>
    </row>
    <row r="846" spans="2:7" hidden="1" outlineLevel="1" x14ac:dyDescent="0.25">
      <c r="B846" s="11"/>
      <c r="D846" s="16" t="s">
        <v>116</v>
      </c>
      <c r="E846" s="16">
        <v>2370</v>
      </c>
      <c r="F846" s="16">
        <v>0</v>
      </c>
      <c r="G846" s="17">
        <v>0</v>
      </c>
    </row>
    <row r="847" spans="2:7" hidden="1" outlineLevel="1" x14ac:dyDescent="0.25">
      <c r="B847" s="11"/>
      <c r="D847" s="16" t="s">
        <v>116</v>
      </c>
      <c r="E847" s="16">
        <v>2370</v>
      </c>
      <c r="F847" s="16">
        <v>50</v>
      </c>
      <c r="G847" s="17">
        <v>0</v>
      </c>
    </row>
    <row r="848" spans="2:7" hidden="1" outlineLevel="1" x14ac:dyDescent="0.25">
      <c r="B848" s="11"/>
      <c r="D848" s="16" t="s">
        <v>116</v>
      </c>
      <c r="E848" s="16">
        <v>2370</v>
      </c>
      <c r="F848" s="16">
        <v>100</v>
      </c>
      <c r="G848" s="17">
        <v>0</v>
      </c>
    </row>
    <row r="849" spans="2:7" hidden="1" outlineLevel="1" x14ac:dyDescent="0.25">
      <c r="B849" s="11"/>
      <c r="D849" s="16" t="s">
        <v>116</v>
      </c>
      <c r="E849" s="16">
        <v>2370</v>
      </c>
      <c r="F849" s="16">
        <v>150</v>
      </c>
      <c r="G849" s="17">
        <v>0.01</v>
      </c>
    </row>
    <row r="850" spans="2:7" hidden="1" outlineLevel="1" x14ac:dyDescent="0.25">
      <c r="B850" s="11"/>
      <c r="D850" s="16" t="s">
        <v>116</v>
      </c>
      <c r="E850" s="16">
        <v>2370</v>
      </c>
      <c r="F850" s="16">
        <v>200</v>
      </c>
      <c r="G850" s="17">
        <v>0.06</v>
      </c>
    </row>
    <row r="851" spans="2:7" hidden="1" outlineLevel="1" x14ac:dyDescent="0.25">
      <c r="B851" s="11"/>
      <c r="D851" s="16" t="s">
        <v>116</v>
      </c>
      <c r="E851" s="16">
        <v>2370</v>
      </c>
      <c r="F851" s="16">
        <v>250</v>
      </c>
      <c r="G851" s="17">
        <v>0.11</v>
      </c>
    </row>
    <row r="852" spans="2:7" hidden="1" outlineLevel="1" x14ac:dyDescent="0.25">
      <c r="B852" s="11"/>
      <c r="D852" s="16" t="s">
        <v>116</v>
      </c>
      <c r="E852" s="16">
        <v>2370</v>
      </c>
      <c r="F852" s="16">
        <v>300</v>
      </c>
      <c r="G852" s="17">
        <v>0.35</v>
      </c>
    </row>
    <row r="853" spans="2:7" hidden="1" outlineLevel="1" x14ac:dyDescent="0.25">
      <c r="B853" s="11"/>
      <c r="D853" s="16" t="s">
        <v>116</v>
      </c>
      <c r="E853" s="16">
        <v>2370</v>
      </c>
      <c r="F853" s="16">
        <v>350</v>
      </c>
      <c r="G853" s="17">
        <v>0.78</v>
      </c>
    </row>
    <row r="854" spans="2:7" hidden="1" outlineLevel="1" x14ac:dyDescent="0.25">
      <c r="B854" s="11"/>
      <c r="D854" s="16" t="s">
        <v>116</v>
      </c>
      <c r="E854" s="16">
        <v>2370</v>
      </c>
      <c r="F854" s="16">
        <v>400</v>
      </c>
      <c r="G854" s="17">
        <v>1</v>
      </c>
    </row>
    <row r="855" spans="2:7" ht="15.75" customHeight="1" collapsed="1" x14ac:dyDescent="0.25">
      <c r="B855" s="11"/>
      <c r="D855" s="15"/>
      <c r="E855" s="15"/>
    </row>
    <row r="856" spans="2:7" ht="15.75" customHeight="1" collapsed="1" x14ac:dyDescent="0.25">
      <c r="B856" s="11"/>
      <c r="D856" s="13" t="s">
        <v>117</v>
      </c>
      <c r="E856" s="13">
        <v>2380</v>
      </c>
      <c r="F856" s="13" t="s">
        <v>54</v>
      </c>
      <c r="G856" s="13" t="s">
        <v>46</v>
      </c>
    </row>
    <row r="857" spans="2:7" hidden="1" outlineLevel="1" x14ac:dyDescent="0.25">
      <c r="B857" s="11"/>
      <c r="D857" s="16" t="s">
        <v>117</v>
      </c>
      <c r="E857" s="16">
        <v>2380</v>
      </c>
      <c r="F857" s="16">
        <v>0</v>
      </c>
      <c r="G857" s="17">
        <v>0</v>
      </c>
    </row>
    <row r="858" spans="2:7" hidden="1" outlineLevel="1" x14ac:dyDescent="0.25">
      <c r="B858" s="11"/>
      <c r="D858" s="16" t="s">
        <v>117</v>
      </c>
      <c r="E858" s="16">
        <v>2380</v>
      </c>
      <c r="F858" s="16">
        <v>50</v>
      </c>
      <c r="G858" s="17">
        <v>0</v>
      </c>
    </row>
    <row r="859" spans="2:7" hidden="1" outlineLevel="1" x14ac:dyDescent="0.25">
      <c r="B859" s="11"/>
      <c r="D859" s="16" t="s">
        <v>117</v>
      </c>
      <c r="E859" s="16">
        <v>2380</v>
      </c>
      <c r="F859" s="16">
        <v>100</v>
      </c>
      <c r="G859" s="17">
        <v>0</v>
      </c>
    </row>
    <row r="860" spans="2:7" hidden="1" outlineLevel="1" x14ac:dyDescent="0.25">
      <c r="B860" s="11"/>
      <c r="D860" s="16" t="s">
        <v>117</v>
      </c>
      <c r="E860" s="16">
        <v>2380</v>
      </c>
      <c r="F860" s="16">
        <v>150</v>
      </c>
      <c r="G860" s="17">
        <v>0.02</v>
      </c>
    </row>
    <row r="861" spans="2:7" hidden="1" outlineLevel="1" x14ac:dyDescent="0.25">
      <c r="B861" s="11"/>
      <c r="D861" s="16" t="s">
        <v>117</v>
      </c>
      <c r="E861" s="16">
        <v>2380</v>
      </c>
      <c r="F861" s="16">
        <v>200</v>
      </c>
      <c r="G861" s="17">
        <v>7.3333333333333334E-2</v>
      </c>
    </row>
    <row r="862" spans="2:7" hidden="1" outlineLevel="1" x14ac:dyDescent="0.25">
      <c r="B862" s="11"/>
      <c r="D862" s="16" t="s">
        <v>117</v>
      </c>
      <c r="E862" s="16">
        <v>2380</v>
      </c>
      <c r="F862" s="16">
        <v>250</v>
      </c>
      <c r="G862" s="17">
        <v>0.13</v>
      </c>
    </row>
    <row r="863" spans="2:7" hidden="1" outlineLevel="1" x14ac:dyDescent="0.25">
      <c r="B863" s="11"/>
      <c r="D863" s="16" t="s">
        <v>117</v>
      </c>
      <c r="E863" s="16">
        <v>2380</v>
      </c>
      <c r="F863" s="16">
        <v>300</v>
      </c>
      <c r="G863" s="17">
        <v>0.41666666666666669</v>
      </c>
    </row>
    <row r="864" spans="2:7" hidden="1" outlineLevel="1" x14ac:dyDescent="0.25">
      <c r="B864" s="11"/>
      <c r="D864" s="16" t="s">
        <v>117</v>
      </c>
      <c r="E864" s="16">
        <v>2380</v>
      </c>
      <c r="F864" s="16">
        <v>350</v>
      </c>
      <c r="G864" s="17">
        <v>0.81333333333333346</v>
      </c>
    </row>
    <row r="865" spans="2:7" hidden="1" outlineLevel="1" x14ac:dyDescent="0.25">
      <c r="B865" s="11"/>
      <c r="D865" s="16" t="s">
        <v>117</v>
      </c>
      <c r="E865" s="16">
        <v>2380</v>
      </c>
      <c r="F865" s="16">
        <v>400</v>
      </c>
      <c r="G865" s="17">
        <v>1</v>
      </c>
    </row>
    <row r="866" spans="2:7" ht="15.75" customHeight="1" collapsed="1" x14ac:dyDescent="0.25">
      <c r="B866" s="11"/>
    </row>
    <row r="867" spans="2:7" collapsed="1" x14ac:dyDescent="0.25">
      <c r="B867" s="11"/>
      <c r="D867" s="13" t="s">
        <v>66</v>
      </c>
      <c r="E867" s="13">
        <v>2410</v>
      </c>
      <c r="F867" s="13" t="s">
        <v>54</v>
      </c>
      <c r="G867" s="13" t="s">
        <v>46</v>
      </c>
    </row>
    <row r="868" spans="2:7" hidden="1" outlineLevel="1" x14ac:dyDescent="0.25">
      <c r="B868" s="11"/>
      <c r="D868" s="16" t="s">
        <v>66</v>
      </c>
      <c r="E868" s="16">
        <v>2410</v>
      </c>
      <c r="F868" s="16">
        <v>0</v>
      </c>
      <c r="G868" s="17">
        <v>0</v>
      </c>
    </row>
    <row r="869" spans="2:7" hidden="1" outlineLevel="1" x14ac:dyDescent="0.25">
      <c r="B869" s="11"/>
      <c r="D869" s="16" t="s">
        <v>66</v>
      </c>
      <c r="E869" s="16">
        <v>2410</v>
      </c>
      <c r="F869" s="16">
        <v>50</v>
      </c>
      <c r="G869" s="17">
        <v>0</v>
      </c>
    </row>
    <row r="870" spans="2:7" hidden="1" outlineLevel="1" x14ac:dyDescent="0.25">
      <c r="B870" s="11"/>
      <c r="D870" s="16" t="s">
        <v>66</v>
      </c>
      <c r="E870" s="16">
        <v>2410</v>
      </c>
      <c r="F870" s="16">
        <v>100</v>
      </c>
      <c r="G870" s="17">
        <v>0</v>
      </c>
    </row>
    <row r="871" spans="2:7" hidden="1" outlineLevel="1" x14ac:dyDescent="0.25">
      <c r="B871" s="11"/>
      <c r="D871" s="16" t="s">
        <v>66</v>
      </c>
      <c r="E871" s="16">
        <v>2410</v>
      </c>
      <c r="F871" s="16">
        <v>150</v>
      </c>
      <c r="G871" s="17">
        <v>0</v>
      </c>
    </row>
    <row r="872" spans="2:7" hidden="1" outlineLevel="1" x14ac:dyDescent="0.25">
      <c r="B872" s="11"/>
      <c r="D872" s="16" t="s">
        <v>66</v>
      </c>
      <c r="E872" s="16">
        <v>2410</v>
      </c>
      <c r="F872" s="16">
        <v>200</v>
      </c>
      <c r="G872" s="17">
        <v>0.02</v>
      </c>
    </row>
    <row r="873" spans="2:7" hidden="1" outlineLevel="1" x14ac:dyDescent="0.25">
      <c r="B873" s="11"/>
      <c r="D873" s="16" t="s">
        <v>66</v>
      </c>
      <c r="E873" s="16">
        <v>2410</v>
      </c>
      <c r="F873" s="16">
        <v>250</v>
      </c>
      <c r="G873" s="17">
        <v>0.105</v>
      </c>
    </row>
    <row r="874" spans="2:7" hidden="1" outlineLevel="1" x14ac:dyDescent="0.25">
      <c r="B874" s="11"/>
      <c r="D874" s="16" t="s">
        <v>66</v>
      </c>
      <c r="E874" s="16">
        <v>2410</v>
      </c>
      <c r="F874" s="16">
        <v>300</v>
      </c>
      <c r="G874" s="17">
        <v>0.36499999999999999</v>
      </c>
    </row>
    <row r="875" spans="2:7" hidden="1" outlineLevel="1" x14ac:dyDescent="0.25">
      <c r="B875" s="11"/>
      <c r="D875" s="16" t="s">
        <v>66</v>
      </c>
      <c r="E875" s="16">
        <v>2410</v>
      </c>
      <c r="F875" s="16">
        <v>350</v>
      </c>
      <c r="G875" s="17">
        <v>0.49</v>
      </c>
    </row>
    <row r="876" spans="2:7" hidden="1" outlineLevel="1" x14ac:dyDescent="0.25">
      <c r="B876" s="11"/>
      <c r="D876" s="16" t="s">
        <v>66</v>
      </c>
      <c r="E876" s="16">
        <v>2410</v>
      </c>
      <c r="F876" s="16">
        <v>400</v>
      </c>
      <c r="G876" s="17">
        <v>0.5</v>
      </c>
    </row>
    <row r="877" spans="2:7" collapsed="1" x14ac:dyDescent="0.25">
      <c r="B877" s="11"/>
      <c r="D877" s="15"/>
      <c r="E877" s="15"/>
      <c r="F877" s="3"/>
    </row>
    <row r="878" spans="2:7" collapsed="1" x14ac:dyDescent="0.25">
      <c r="B878" s="11"/>
      <c r="D878" s="13" t="s">
        <v>67</v>
      </c>
      <c r="E878" s="13">
        <v>2420</v>
      </c>
      <c r="F878" s="13" t="s">
        <v>54</v>
      </c>
      <c r="G878" s="13" t="s">
        <v>46</v>
      </c>
    </row>
    <row r="879" spans="2:7" hidden="1" outlineLevel="1" x14ac:dyDescent="0.25">
      <c r="B879" s="11"/>
      <c r="D879" s="16" t="s">
        <v>67</v>
      </c>
      <c r="E879" s="16">
        <v>2420</v>
      </c>
      <c r="F879" s="16">
        <v>0</v>
      </c>
      <c r="G879" s="17">
        <v>0</v>
      </c>
    </row>
    <row r="880" spans="2:7" hidden="1" outlineLevel="1" x14ac:dyDescent="0.25">
      <c r="B880" s="11"/>
      <c r="D880" s="16" t="s">
        <v>67</v>
      </c>
      <c r="E880" s="16">
        <v>2420</v>
      </c>
      <c r="F880" s="16">
        <v>50</v>
      </c>
      <c r="G880" s="17">
        <v>0</v>
      </c>
    </row>
    <row r="881" spans="2:7" hidden="1" outlineLevel="1" x14ac:dyDescent="0.25">
      <c r="B881" s="11"/>
      <c r="D881" s="16" t="s">
        <v>67</v>
      </c>
      <c r="E881" s="16">
        <v>2420</v>
      </c>
      <c r="F881" s="16">
        <v>100</v>
      </c>
      <c r="G881" s="17">
        <v>0</v>
      </c>
    </row>
    <row r="882" spans="2:7" hidden="1" outlineLevel="1" x14ac:dyDescent="0.25">
      <c r="B882" s="11"/>
      <c r="D882" s="16" t="s">
        <v>67</v>
      </c>
      <c r="E882" s="16">
        <v>2420</v>
      </c>
      <c r="F882" s="16">
        <v>150</v>
      </c>
      <c r="G882" s="17">
        <v>0</v>
      </c>
    </row>
    <row r="883" spans="2:7" hidden="1" outlineLevel="1" x14ac:dyDescent="0.25">
      <c r="B883" s="11"/>
      <c r="D883" s="16" t="s">
        <v>67</v>
      </c>
      <c r="E883" s="16">
        <v>2420</v>
      </c>
      <c r="F883" s="16">
        <v>200</v>
      </c>
      <c r="G883" s="17">
        <v>0.04</v>
      </c>
    </row>
    <row r="884" spans="2:7" hidden="1" outlineLevel="1" x14ac:dyDescent="0.25">
      <c r="B884" s="11"/>
      <c r="D884" s="16" t="s">
        <v>67</v>
      </c>
      <c r="E884" s="16">
        <v>2420</v>
      </c>
      <c r="F884" s="16">
        <v>250</v>
      </c>
      <c r="G884" s="17">
        <v>0.26500000000000001</v>
      </c>
    </row>
    <row r="885" spans="2:7" hidden="1" outlineLevel="1" x14ac:dyDescent="0.25">
      <c r="B885" s="11"/>
      <c r="D885" s="16" t="s">
        <v>67</v>
      </c>
      <c r="E885" s="16">
        <v>2420</v>
      </c>
      <c r="F885" s="16">
        <v>300</v>
      </c>
      <c r="G885" s="17">
        <v>0.48</v>
      </c>
    </row>
    <row r="886" spans="2:7" hidden="1" outlineLevel="1" x14ac:dyDescent="0.25">
      <c r="B886" s="11"/>
      <c r="D886" s="16" t="s">
        <v>67</v>
      </c>
      <c r="E886" s="16">
        <v>2420</v>
      </c>
      <c r="F886" s="16">
        <v>350</v>
      </c>
      <c r="G886" s="17">
        <v>0.5</v>
      </c>
    </row>
    <row r="887" spans="2:7" hidden="1" outlineLevel="1" x14ac:dyDescent="0.25">
      <c r="B887" s="11"/>
      <c r="D887" s="16" t="s">
        <v>67</v>
      </c>
      <c r="E887" s="16">
        <v>2420</v>
      </c>
      <c r="F887" s="16">
        <v>400</v>
      </c>
      <c r="G887" s="17">
        <v>0.5</v>
      </c>
    </row>
    <row r="888" spans="2:7" collapsed="1" x14ac:dyDescent="0.25">
      <c r="B888" s="11"/>
      <c r="D888" s="15"/>
      <c r="E888" s="15"/>
    </row>
    <row r="889" spans="2:7" collapsed="1" x14ac:dyDescent="0.25">
      <c r="B889" s="11"/>
      <c r="D889" s="13" t="s">
        <v>68</v>
      </c>
      <c r="E889" s="13">
        <v>2430</v>
      </c>
      <c r="F889" s="13" t="s">
        <v>54</v>
      </c>
      <c r="G889" s="13" t="s">
        <v>46</v>
      </c>
    </row>
    <row r="890" spans="2:7" hidden="1" outlineLevel="1" x14ac:dyDescent="0.25">
      <c r="B890" s="11"/>
      <c r="D890" s="16" t="s">
        <v>68</v>
      </c>
      <c r="E890" s="16">
        <v>2430</v>
      </c>
      <c r="F890" s="16">
        <v>0</v>
      </c>
      <c r="G890" s="17">
        <v>0</v>
      </c>
    </row>
    <row r="891" spans="2:7" hidden="1" outlineLevel="1" x14ac:dyDescent="0.25">
      <c r="B891" s="11"/>
      <c r="D891" s="16" t="s">
        <v>68</v>
      </c>
      <c r="E891" s="16">
        <v>2430</v>
      </c>
      <c r="F891" s="16">
        <v>50</v>
      </c>
      <c r="G891" s="17">
        <v>0</v>
      </c>
    </row>
    <row r="892" spans="2:7" hidden="1" outlineLevel="1" x14ac:dyDescent="0.25">
      <c r="B892" s="11"/>
      <c r="D892" s="16" t="s">
        <v>68</v>
      </c>
      <c r="E892" s="16">
        <v>2430</v>
      </c>
      <c r="F892" s="16">
        <v>100</v>
      </c>
      <c r="G892" s="17">
        <v>0</v>
      </c>
    </row>
    <row r="893" spans="2:7" hidden="1" outlineLevel="1" x14ac:dyDescent="0.25">
      <c r="B893" s="11"/>
      <c r="D893" s="16" t="s">
        <v>68</v>
      </c>
      <c r="E893" s="16">
        <v>2430</v>
      </c>
      <c r="F893" s="16">
        <v>150</v>
      </c>
      <c r="G893" s="17">
        <v>0</v>
      </c>
    </row>
    <row r="894" spans="2:7" hidden="1" outlineLevel="1" x14ac:dyDescent="0.25">
      <c r="B894" s="11"/>
      <c r="D894" s="16" t="s">
        <v>68</v>
      </c>
      <c r="E894" s="16">
        <v>2430</v>
      </c>
      <c r="F894" s="16">
        <v>200</v>
      </c>
      <c r="G894" s="17">
        <v>0.14000000000000001</v>
      </c>
    </row>
    <row r="895" spans="2:7" hidden="1" outlineLevel="1" x14ac:dyDescent="0.25">
      <c r="B895" s="11"/>
      <c r="D895" s="16" t="s">
        <v>68</v>
      </c>
      <c r="E895" s="16">
        <v>2430</v>
      </c>
      <c r="F895" s="16">
        <v>250</v>
      </c>
      <c r="G895" s="17">
        <v>0.45</v>
      </c>
    </row>
    <row r="896" spans="2:7" hidden="1" outlineLevel="1" x14ac:dyDescent="0.25">
      <c r="B896" s="11"/>
      <c r="D896" s="16" t="s">
        <v>68</v>
      </c>
      <c r="E896" s="16">
        <v>2430</v>
      </c>
      <c r="F896" s="16">
        <v>300</v>
      </c>
      <c r="G896" s="17">
        <v>0.5</v>
      </c>
    </row>
    <row r="897" spans="1:7" hidden="1" outlineLevel="1" x14ac:dyDescent="0.25">
      <c r="B897" s="11"/>
      <c r="D897" s="16" t="s">
        <v>68</v>
      </c>
      <c r="E897" s="16">
        <v>2430</v>
      </c>
      <c r="F897" s="16">
        <v>350</v>
      </c>
      <c r="G897" s="17">
        <v>0.5</v>
      </c>
    </row>
    <row r="898" spans="1:7" hidden="1" outlineLevel="1" x14ac:dyDescent="0.25">
      <c r="B898" s="11"/>
      <c r="D898" s="16" t="s">
        <v>68</v>
      </c>
      <c r="E898" s="16">
        <v>2430</v>
      </c>
      <c r="F898" s="16">
        <v>400</v>
      </c>
      <c r="G898" s="17">
        <v>0.5</v>
      </c>
    </row>
    <row r="899" spans="1:7" collapsed="1" x14ac:dyDescent="0.25">
      <c r="A899" s="3"/>
      <c r="B899" s="19"/>
      <c r="C899" s="3"/>
      <c r="D899" s="15"/>
      <c r="E899" s="15"/>
    </row>
    <row r="900" spans="1:7" collapsed="1" x14ac:dyDescent="0.25">
      <c r="B900" s="11"/>
      <c r="D900" s="13" t="s">
        <v>69</v>
      </c>
      <c r="E900" s="13">
        <v>2440</v>
      </c>
      <c r="F900" s="13" t="s">
        <v>54</v>
      </c>
      <c r="G900" s="13" t="s">
        <v>46</v>
      </c>
    </row>
    <row r="901" spans="1:7" hidden="1" outlineLevel="1" x14ac:dyDescent="0.25">
      <c r="B901" s="11"/>
      <c r="D901" s="16" t="s">
        <v>69</v>
      </c>
      <c r="E901" s="16">
        <v>2440</v>
      </c>
      <c r="F901" s="16">
        <v>0</v>
      </c>
      <c r="G901" s="17">
        <v>0</v>
      </c>
    </row>
    <row r="902" spans="1:7" hidden="1" outlineLevel="1" x14ac:dyDescent="0.25">
      <c r="B902" s="11"/>
      <c r="D902" s="16" t="s">
        <v>69</v>
      </c>
      <c r="E902" s="16">
        <v>2440</v>
      </c>
      <c r="F902" s="16">
        <v>50</v>
      </c>
      <c r="G902" s="17">
        <v>0</v>
      </c>
    </row>
    <row r="903" spans="1:7" hidden="1" outlineLevel="1" x14ac:dyDescent="0.25">
      <c r="B903" s="11"/>
      <c r="D903" s="16" t="s">
        <v>69</v>
      </c>
      <c r="E903" s="16">
        <v>2440</v>
      </c>
      <c r="F903" s="16">
        <v>100</v>
      </c>
      <c r="G903" s="17">
        <v>0</v>
      </c>
    </row>
    <row r="904" spans="1:7" hidden="1" outlineLevel="1" x14ac:dyDescent="0.25">
      <c r="B904" s="11"/>
      <c r="D904" s="16" t="s">
        <v>69</v>
      </c>
      <c r="E904" s="16">
        <v>2440</v>
      </c>
      <c r="F904" s="16">
        <v>150</v>
      </c>
      <c r="G904" s="17">
        <v>2.5000000000000001E-2</v>
      </c>
    </row>
    <row r="905" spans="1:7" hidden="1" outlineLevel="1" x14ac:dyDescent="0.25">
      <c r="B905" s="11"/>
      <c r="D905" s="16" t="s">
        <v>69</v>
      </c>
      <c r="E905" s="16">
        <v>2440</v>
      </c>
      <c r="F905" s="16">
        <v>200</v>
      </c>
      <c r="G905" s="17">
        <v>0.13500000000000001</v>
      </c>
    </row>
    <row r="906" spans="1:7" hidden="1" outlineLevel="1" x14ac:dyDescent="0.25">
      <c r="B906" s="11"/>
      <c r="D906" s="16" t="s">
        <v>69</v>
      </c>
      <c r="E906" s="16">
        <v>2440</v>
      </c>
      <c r="F906" s="16">
        <v>250</v>
      </c>
      <c r="G906" s="17">
        <v>0.48499999999999999</v>
      </c>
    </row>
    <row r="907" spans="1:7" hidden="1" outlineLevel="1" x14ac:dyDescent="0.25">
      <c r="B907" s="11"/>
      <c r="D907" s="16" t="s">
        <v>69</v>
      </c>
      <c r="E907" s="16">
        <v>2440</v>
      </c>
      <c r="F907" s="16">
        <v>300</v>
      </c>
      <c r="G907" s="17">
        <v>0.5</v>
      </c>
    </row>
    <row r="908" spans="1:7" hidden="1" outlineLevel="1" x14ac:dyDescent="0.25">
      <c r="B908" s="11"/>
      <c r="D908" s="16" t="s">
        <v>69</v>
      </c>
      <c r="E908" s="16">
        <v>2440</v>
      </c>
      <c r="F908" s="16">
        <v>350</v>
      </c>
      <c r="G908" s="17">
        <v>0.5</v>
      </c>
    </row>
    <row r="909" spans="1:7" hidden="1" outlineLevel="1" x14ac:dyDescent="0.25">
      <c r="B909" s="11"/>
      <c r="D909" s="16" t="s">
        <v>69</v>
      </c>
      <c r="E909" s="16">
        <v>2440</v>
      </c>
      <c r="F909" s="16">
        <v>400</v>
      </c>
      <c r="G909" s="17">
        <v>0.5</v>
      </c>
    </row>
    <row r="910" spans="1:7" collapsed="1" x14ac:dyDescent="0.25">
      <c r="B910" s="11"/>
    </row>
    <row r="911" spans="1:7" collapsed="1" x14ac:dyDescent="0.25">
      <c r="B911" s="11"/>
    </row>
    <row r="912" spans="1:7" collapsed="1" x14ac:dyDescent="0.25">
      <c r="B912" s="11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45"/>
  <sheetViews>
    <sheetView tabSelected="1" topLeftCell="A157" zoomScale="85" zoomScaleNormal="85" workbookViewId="0">
      <selection activeCell="H174" sqref="H174"/>
    </sheetView>
  </sheetViews>
  <sheetFormatPr defaultRowHeight="15" outlineLevelRow="1" x14ac:dyDescent="0.25"/>
  <cols>
    <col min="1" max="1" width="102.7109375" customWidth="1"/>
    <col min="2" max="2" width="21.5703125" customWidth="1"/>
    <col min="3" max="3" width="13.7109375" customWidth="1"/>
  </cols>
  <sheetData>
    <row r="1" spans="1:6" x14ac:dyDescent="0.25">
      <c r="A1" s="14" t="s">
        <v>42</v>
      </c>
      <c r="B1" s="14" t="s">
        <v>126</v>
      </c>
      <c r="C1" s="14" t="s">
        <v>127</v>
      </c>
      <c r="D1" s="14" t="s">
        <v>128</v>
      </c>
      <c r="E1" s="14" t="s">
        <v>129</v>
      </c>
      <c r="F1" s="14" t="s">
        <v>130</v>
      </c>
    </row>
    <row r="2" spans="1:6" outlineLevel="1" x14ac:dyDescent="0.25">
      <c r="A2" t="s">
        <v>72</v>
      </c>
      <c r="B2">
        <v>1110</v>
      </c>
      <c r="C2">
        <v>0</v>
      </c>
      <c r="D2">
        <v>0</v>
      </c>
      <c r="E2" t="s">
        <v>125</v>
      </c>
      <c r="F2" t="s">
        <v>133</v>
      </c>
    </row>
    <row r="3" spans="1:6" outlineLevel="1" x14ac:dyDescent="0.25">
      <c r="A3" t="s">
        <v>72</v>
      </c>
      <c r="B3">
        <v>1110</v>
      </c>
      <c r="C3">
        <v>1</v>
      </c>
      <c r="D3">
        <v>0</v>
      </c>
      <c r="E3" t="s">
        <v>125</v>
      </c>
      <c r="F3" t="s">
        <v>133</v>
      </c>
    </row>
    <row r="4" spans="1:6" outlineLevel="1" x14ac:dyDescent="0.25">
      <c r="A4" t="s">
        <v>72</v>
      </c>
      <c r="B4">
        <v>1110</v>
      </c>
      <c r="C4">
        <v>2</v>
      </c>
      <c r="D4">
        <v>4.0000000000000008E-2</v>
      </c>
      <c r="E4" t="s">
        <v>125</v>
      </c>
      <c r="F4" t="s">
        <v>133</v>
      </c>
    </row>
    <row r="5" spans="1:6" outlineLevel="1" x14ac:dyDescent="0.25">
      <c r="A5" t="s">
        <v>72</v>
      </c>
      <c r="B5">
        <v>1110</v>
      </c>
      <c r="C5">
        <v>3</v>
      </c>
      <c r="D5">
        <v>0.11200000000000002</v>
      </c>
      <c r="E5" t="s">
        <v>125</v>
      </c>
      <c r="F5" t="s">
        <v>133</v>
      </c>
    </row>
    <row r="6" spans="1:6" outlineLevel="1" x14ac:dyDescent="0.25">
      <c r="A6" t="s">
        <v>72</v>
      </c>
      <c r="B6">
        <v>1110</v>
      </c>
      <c r="C6">
        <v>4</v>
      </c>
      <c r="D6">
        <v>0.18400000000000002</v>
      </c>
      <c r="E6" t="s">
        <v>125</v>
      </c>
      <c r="F6" t="s">
        <v>133</v>
      </c>
    </row>
    <row r="7" spans="1:6" outlineLevel="1" x14ac:dyDescent="0.25">
      <c r="A7" t="s">
        <v>72</v>
      </c>
      <c r="B7">
        <v>1110</v>
      </c>
      <c r="C7">
        <v>5</v>
      </c>
      <c r="D7">
        <v>0.25600000000000001</v>
      </c>
      <c r="E7" t="s">
        <v>125</v>
      </c>
      <c r="F7" t="s">
        <v>133</v>
      </c>
    </row>
    <row r="8" spans="1:6" outlineLevel="1" x14ac:dyDescent="0.25">
      <c r="A8" t="s">
        <v>72</v>
      </c>
      <c r="B8">
        <v>1110</v>
      </c>
      <c r="C8">
        <v>6</v>
      </c>
      <c r="D8">
        <v>0.32800000000000007</v>
      </c>
      <c r="E8" t="s">
        <v>125</v>
      </c>
      <c r="F8" t="s">
        <v>133</v>
      </c>
    </row>
    <row r="9" spans="1:6" outlineLevel="1" x14ac:dyDescent="0.25">
      <c r="A9" t="s">
        <v>72</v>
      </c>
      <c r="B9">
        <v>1110</v>
      </c>
      <c r="C9">
        <v>7</v>
      </c>
      <c r="D9">
        <v>0.4</v>
      </c>
      <c r="E9" t="s">
        <v>125</v>
      </c>
      <c r="F9" t="s">
        <v>133</v>
      </c>
    </row>
    <row r="10" spans="1:6" outlineLevel="1" x14ac:dyDescent="0.25">
      <c r="A10" t="s">
        <v>72</v>
      </c>
      <c r="B10">
        <v>1110</v>
      </c>
      <c r="C10">
        <v>8</v>
      </c>
      <c r="D10">
        <v>0.4</v>
      </c>
      <c r="E10" t="s">
        <v>125</v>
      </c>
      <c r="F10" t="s">
        <v>133</v>
      </c>
    </row>
    <row r="11" spans="1:6" outlineLevel="1" x14ac:dyDescent="0.25">
      <c r="A11" t="s">
        <v>72</v>
      </c>
      <c r="B11">
        <v>1110</v>
      </c>
      <c r="C11">
        <v>9</v>
      </c>
      <c r="D11">
        <v>0.4</v>
      </c>
      <c r="E11" t="s">
        <v>125</v>
      </c>
      <c r="F11" t="s">
        <v>133</v>
      </c>
    </row>
    <row r="12" spans="1:6" outlineLevel="1" x14ac:dyDescent="0.25">
      <c r="A12" t="s">
        <v>72</v>
      </c>
      <c r="B12">
        <v>1110</v>
      </c>
      <c r="C12">
        <v>10</v>
      </c>
      <c r="D12">
        <v>0.4</v>
      </c>
      <c r="E12" t="s">
        <v>125</v>
      </c>
      <c r="F12" t="s">
        <v>133</v>
      </c>
    </row>
    <row r="13" spans="1:6" outlineLevel="1" x14ac:dyDescent="0.25">
      <c r="A13" t="s">
        <v>72</v>
      </c>
      <c r="B13">
        <v>1110</v>
      </c>
      <c r="C13">
        <v>11</v>
      </c>
      <c r="D13">
        <v>0.4</v>
      </c>
      <c r="E13" t="s">
        <v>125</v>
      </c>
      <c r="F13" t="s">
        <v>133</v>
      </c>
    </row>
    <row r="14" spans="1:6" outlineLevel="1" x14ac:dyDescent="0.25">
      <c r="A14" t="s">
        <v>72</v>
      </c>
      <c r="B14">
        <v>1110</v>
      </c>
      <c r="C14">
        <v>12</v>
      </c>
      <c r="D14">
        <v>0.4</v>
      </c>
      <c r="E14" t="s">
        <v>125</v>
      </c>
      <c r="F14" t="s">
        <v>133</v>
      </c>
    </row>
    <row r="15" spans="1:6" outlineLevel="1" x14ac:dyDescent="0.25">
      <c r="A15" t="s">
        <v>72</v>
      </c>
      <c r="B15">
        <v>1110</v>
      </c>
      <c r="C15">
        <v>13</v>
      </c>
      <c r="D15">
        <v>0.4</v>
      </c>
      <c r="E15" t="s">
        <v>125</v>
      </c>
      <c r="F15" t="s">
        <v>133</v>
      </c>
    </row>
    <row r="16" spans="1:6" outlineLevel="1" x14ac:dyDescent="0.25">
      <c r="A16" t="s">
        <v>72</v>
      </c>
      <c r="B16">
        <v>1110</v>
      </c>
      <c r="C16">
        <v>14</v>
      </c>
      <c r="D16">
        <v>0.4</v>
      </c>
      <c r="E16" t="s">
        <v>125</v>
      </c>
      <c r="F16" t="s">
        <v>133</v>
      </c>
    </row>
    <row r="17" spans="1:7" outlineLevel="1" x14ac:dyDescent="0.25">
      <c r="A17" t="s">
        <v>73</v>
      </c>
      <c r="B17">
        <v>1120</v>
      </c>
      <c r="C17">
        <v>0</v>
      </c>
      <c r="D17">
        <v>0</v>
      </c>
      <c r="E17" t="s">
        <v>125</v>
      </c>
      <c r="F17" t="s">
        <v>133</v>
      </c>
      <c r="G17" s="1"/>
    </row>
    <row r="18" spans="1:7" outlineLevel="1" x14ac:dyDescent="0.25">
      <c r="A18" t="s">
        <v>73</v>
      </c>
      <c r="B18">
        <v>1120</v>
      </c>
      <c r="C18">
        <v>1</v>
      </c>
      <c r="D18">
        <v>0</v>
      </c>
      <c r="E18" t="s">
        <v>125</v>
      </c>
      <c r="F18" t="s">
        <v>133</v>
      </c>
      <c r="G18" s="1"/>
    </row>
    <row r="19" spans="1:7" outlineLevel="1" x14ac:dyDescent="0.25">
      <c r="A19" t="s">
        <v>73</v>
      </c>
      <c r="B19">
        <v>1120</v>
      </c>
      <c r="C19">
        <v>2</v>
      </c>
      <c r="D19">
        <v>0</v>
      </c>
      <c r="E19" t="s">
        <v>125</v>
      </c>
      <c r="F19" t="s">
        <v>133</v>
      </c>
      <c r="G19" s="1"/>
    </row>
    <row r="20" spans="1:7" outlineLevel="1" x14ac:dyDescent="0.25">
      <c r="A20" t="s">
        <v>73</v>
      </c>
      <c r="B20">
        <v>1120</v>
      </c>
      <c r="C20">
        <v>3</v>
      </c>
      <c r="D20">
        <v>7.1428571428571425E-2</v>
      </c>
      <c r="E20" t="s">
        <v>125</v>
      </c>
      <c r="F20" t="s">
        <v>133</v>
      </c>
      <c r="G20" s="1"/>
    </row>
    <row r="21" spans="1:7" outlineLevel="1" x14ac:dyDescent="0.25">
      <c r="A21" t="s">
        <v>73</v>
      </c>
      <c r="B21">
        <v>1120</v>
      </c>
      <c r="C21">
        <v>4</v>
      </c>
      <c r="D21">
        <v>0.14285714285714285</v>
      </c>
      <c r="E21" t="s">
        <v>125</v>
      </c>
      <c r="F21" t="s">
        <v>133</v>
      </c>
      <c r="G21" s="1"/>
    </row>
    <row r="22" spans="1:7" outlineLevel="1" x14ac:dyDescent="0.25">
      <c r="A22" t="s">
        <v>73</v>
      </c>
      <c r="B22">
        <v>1120</v>
      </c>
      <c r="C22">
        <v>5</v>
      </c>
      <c r="D22">
        <v>0.21428571428571427</v>
      </c>
      <c r="E22" t="s">
        <v>125</v>
      </c>
      <c r="F22" t="s">
        <v>133</v>
      </c>
      <c r="G22" s="1"/>
    </row>
    <row r="23" spans="1:7" outlineLevel="1" x14ac:dyDescent="0.25">
      <c r="A23" t="s">
        <v>73</v>
      </c>
      <c r="B23">
        <v>1120</v>
      </c>
      <c r="C23">
        <v>6</v>
      </c>
      <c r="D23">
        <v>0.2857142857142857</v>
      </c>
      <c r="E23" t="s">
        <v>125</v>
      </c>
      <c r="F23" t="s">
        <v>133</v>
      </c>
      <c r="G23" s="1"/>
    </row>
    <row r="24" spans="1:7" outlineLevel="1" x14ac:dyDescent="0.25">
      <c r="A24" t="s">
        <v>73</v>
      </c>
      <c r="B24">
        <v>1120</v>
      </c>
      <c r="C24">
        <v>7</v>
      </c>
      <c r="D24">
        <v>0.3571428571428571</v>
      </c>
      <c r="E24" t="s">
        <v>125</v>
      </c>
      <c r="F24" t="s">
        <v>133</v>
      </c>
      <c r="G24" s="1"/>
    </row>
    <row r="25" spans="1:7" outlineLevel="1" x14ac:dyDescent="0.25">
      <c r="A25" t="s">
        <v>73</v>
      </c>
      <c r="B25">
        <v>1120</v>
      </c>
      <c r="C25">
        <v>8</v>
      </c>
      <c r="D25">
        <v>0.42857142857142849</v>
      </c>
      <c r="E25" t="s">
        <v>125</v>
      </c>
      <c r="F25" t="s">
        <v>133</v>
      </c>
      <c r="G25" s="1"/>
    </row>
    <row r="26" spans="1:7" outlineLevel="1" x14ac:dyDescent="0.25">
      <c r="A26" t="s">
        <v>73</v>
      </c>
      <c r="B26">
        <v>1120</v>
      </c>
      <c r="C26">
        <v>9</v>
      </c>
      <c r="D26">
        <v>0.5</v>
      </c>
      <c r="E26" t="s">
        <v>125</v>
      </c>
      <c r="F26" t="s">
        <v>133</v>
      </c>
      <c r="G26" s="1"/>
    </row>
    <row r="27" spans="1:7" outlineLevel="1" x14ac:dyDescent="0.25">
      <c r="A27" t="s">
        <v>73</v>
      </c>
      <c r="B27">
        <v>1120</v>
      </c>
      <c r="C27">
        <v>10</v>
      </c>
      <c r="D27">
        <v>0.5</v>
      </c>
      <c r="E27" t="s">
        <v>125</v>
      </c>
      <c r="F27" t="s">
        <v>133</v>
      </c>
      <c r="G27" s="1"/>
    </row>
    <row r="28" spans="1:7" outlineLevel="1" x14ac:dyDescent="0.25">
      <c r="A28" t="s">
        <v>73</v>
      </c>
      <c r="B28">
        <v>1120</v>
      </c>
      <c r="C28">
        <v>11</v>
      </c>
      <c r="D28">
        <v>0.5</v>
      </c>
      <c r="E28" t="s">
        <v>125</v>
      </c>
      <c r="F28" t="s">
        <v>133</v>
      </c>
      <c r="G28" s="1"/>
    </row>
    <row r="29" spans="1:7" outlineLevel="1" x14ac:dyDescent="0.25">
      <c r="A29" t="s">
        <v>73</v>
      </c>
      <c r="B29">
        <v>1120</v>
      </c>
      <c r="C29">
        <v>12</v>
      </c>
      <c r="D29">
        <v>0.5</v>
      </c>
      <c r="E29" t="s">
        <v>125</v>
      </c>
      <c r="F29" t="s">
        <v>133</v>
      </c>
      <c r="G29" s="1"/>
    </row>
    <row r="30" spans="1:7" outlineLevel="1" x14ac:dyDescent="0.25">
      <c r="A30" t="s">
        <v>73</v>
      </c>
      <c r="B30">
        <v>1120</v>
      </c>
      <c r="C30">
        <v>13</v>
      </c>
      <c r="D30">
        <v>0.5</v>
      </c>
      <c r="E30" t="s">
        <v>125</v>
      </c>
      <c r="F30" t="s">
        <v>133</v>
      </c>
      <c r="G30" s="1"/>
    </row>
    <row r="31" spans="1:7" outlineLevel="1" x14ac:dyDescent="0.25">
      <c r="A31" t="s">
        <v>73</v>
      </c>
      <c r="B31">
        <v>1120</v>
      </c>
      <c r="C31">
        <v>14</v>
      </c>
      <c r="D31">
        <v>0.5</v>
      </c>
      <c r="E31" t="s">
        <v>125</v>
      </c>
      <c r="F31" t="s">
        <v>133</v>
      </c>
      <c r="G31" s="1"/>
    </row>
    <row r="32" spans="1:7" ht="14.25" customHeight="1" outlineLevel="1" x14ac:dyDescent="0.25">
      <c r="A32" t="s">
        <v>74</v>
      </c>
      <c r="B32">
        <v>1130</v>
      </c>
      <c r="C32">
        <v>0</v>
      </c>
      <c r="D32">
        <v>0</v>
      </c>
      <c r="E32" t="s">
        <v>125</v>
      </c>
      <c r="F32" t="s">
        <v>133</v>
      </c>
      <c r="G32" s="1"/>
    </row>
    <row r="33" spans="1:7" outlineLevel="1" x14ac:dyDescent="0.25">
      <c r="A33" t="s">
        <v>74</v>
      </c>
      <c r="B33">
        <v>1130</v>
      </c>
      <c r="C33">
        <v>1</v>
      </c>
      <c r="D33">
        <v>0</v>
      </c>
      <c r="E33" t="s">
        <v>125</v>
      </c>
      <c r="F33" t="s">
        <v>133</v>
      </c>
      <c r="G33" s="1"/>
    </row>
    <row r="34" spans="1:7" outlineLevel="1" x14ac:dyDescent="0.25">
      <c r="A34" t="s">
        <v>74</v>
      </c>
      <c r="B34">
        <v>1130</v>
      </c>
      <c r="C34">
        <v>2</v>
      </c>
      <c r="D34">
        <v>0</v>
      </c>
      <c r="E34" t="s">
        <v>125</v>
      </c>
      <c r="F34" t="s">
        <v>133</v>
      </c>
      <c r="G34" s="1"/>
    </row>
    <row r="35" spans="1:7" outlineLevel="1" x14ac:dyDescent="0.25">
      <c r="A35" t="s">
        <v>74</v>
      </c>
      <c r="B35">
        <v>1130</v>
      </c>
      <c r="C35">
        <v>3</v>
      </c>
      <c r="D35">
        <v>4.1666666666666664E-2</v>
      </c>
      <c r="E35" t="s">
        <v>125</v>
      </c>
      <c r="F35" t="s">
        <v>133</v>
      </c>
      <c r="G35" s="1"/>
    </row>
    <row r="36" spans="1:7" outlineLevel="1" x14ac:dyDescent="0.25">
      <c r="A36" t="s">
        <v>74</v>
      </c>
      <c r="B36">
        <v>1130</v>
      </c>
      <c r="C36">
        <v>4</v>
      </c>
      <c r="D36">
        <v>8.3333333333333329E-2</v>
      </c>
      <c r="E36" t="s">
        <v>125</v>
      </c>
      <c r="F36" t="s">
        <v>133</v>
      </c>
      <c r="G36" s="1"/>
    </row>
    <row r="37" spans="1:7" outlineLevel="1" x14ac:dyDescent="0.25">
      <c r="A37" t="s">
        <v>74</v>
      </c>
      <c r="B37">
        <v>1130</v>
      </c>
      <c r="C37">
        <v>5</v>
      </c>
      <c r="D37">
        <v>0.125</v>
      </c>
      <c r="E37" t="s">
        <v>125</v>
      </c>
      <c r="F37" t="s">
        <v>133</v>
      </c>
      <c r="G37" s="1"/>
    </row>
    <row r="38" spans="1:7" outlineLevel="1" x14ac:dyDescent="0.25">
      <c r="A38" t="s">
        <v>74</v>
      </c>
      <c r="B38">
        <v>1130</v>
      </c>
      <c r="C38">
        <v>6</v>
      </c>
      <c r="D38">
        <v>0.16666666666666666</v>
      </c>
      <c r="E38" t="s">
        <v>125</v>
      </c>
      <c r="F38" t="s">
        <v>133</v>
      </c>
      <c r="G38" s="1"/>
    </row>
    <row r="39" spans="1:7" outlineLevel="1" x14ac:dyDescent="0.25">
      <c r="A39" t="s">
        <v>74</v>
      </c>
      <c r="B39">
        <v>1130</v>
      </c>
      <c r="C39">
        <v>7</v>
      </c>
      <c r="D39">
        <v>0.20833333333333331</v>
      </c>
      <c r="E39" t="s">
        <v>125</v>
      </c>
      <c r="F39" t="s">
        <v>133</v>
      </c>
      <c r="G39" s="1"/>
    </row>
    <row r="40" spans="1:7" outlineLevel="1" x14ac:dyDescent="0.25">
      <c r="A40" t="s">
        <v>74</v>
      </c>
      <c r="B40">
        <v>1130</v>
      </c>
      <c r="C40">
        <v>8</v>
      </c>
      <c r="D40">
        <v>0.24999999999999997</v>
      </c>
      <c r="E40" t="s">
        <v>125</v>
      </c>
      <c r="F40" t="s">
        <v>133</v>
      </c>
      <c r="G40" s="1"/>
    </row>
    <row r="41" spans="1:7" outlineLevel="1" x14ac:dyDescent="0.25">
      <c r="A41" t="s">
        <v>74</v>
      </c>
      <c r="B41">
        <v>1130</v>
      </c>
      <c r="C41">
        <v>9</v>
      </c>
      <c r="D41">
        <v>0.29166666666666663</v>
      </c>
      <c r="E41" t="s">
        <v>125</v>
      </c>
      <c r="F41" t="s">
        <v>133</v>
      </c>
      <c r="G41" s="1"/>
    </row>
    <row r="42" spans="1:7" outlineLevel="1" x14ac:dyDescent="0.25">
      <c r="A42" t="s">
        <v>74</v>
      </c>
      <c r="B42">
        <v>1130</v>
      </c>
      <c r="C42">
        <v>10</v>
      </c>
      <c r="D42">
        <v>0.33333333333333331</v>
      </c>
      <c r="E42" t="s">
        <v>125</v>
      </c>
      <c r="F42" t="s">
        <v>133</v>
      </c>
      <c r="G42" s="1"/>
    </row>
    <row r="43" spans="1:7" outlineLevel="1" x14ac:dyDescent="0.25">
      <c r="A43" t="s">
        <v>74</v>
      </c>
      <c r="B43">
        <v>1130</v>
      </c>
      <c r="C43">
        <v>11</v>
      </c>
      <c r="D43">
        <v>0.375</v>
      </c>
      <c r="E43" t="s">
        <v>125</v>
      </c>
      <c r="F43" t="s">
        <v>133</v>
      </c>
      <c r="G43" s="1"/>
    </row>
    <row r="44" spans="1:7" outlineLevel="1" x14ac:dyDescent="0.25">
      <c r="A44" t="s">
        <v>74</v>
      </c>
      <c r="B44">
        <v>1130</v>
      </c>
      <c r="C44">
        <v>12</v>
      </c>
      <c r="D44">
        <v>0.41666666666666669</v>
      </c>
      <c r="E44" t="s">
        <v>125</v>
      </c>
      <c r="F44" t="s">
        <v>133</v>
      </c>
      <c r="G44" s="1"/>
    </row>
    <row r="45" spans="1:7" outlineLevel="1" x14ac:dyDescent="0.25">
      <c r="A45" t="s">
        <v>74</v>
      </c>
      <c r="B45">
        <v>1130</v>
      </c>
      <c r="C45">
        <v>13</v>
      </c>
      <c r="D45">
        <v>0.45833333333333337</v>
      </c>
      <c r="E45" t="s">
        <v>125</v>
      </c>
      <c r="F45" t="s">
        <v>133</v>
      </c>
      <c r="G45" s="1"/>
    </row>
    <row r="46" spans="1:7" outlineLevel="1" x14ac:dyDescent="0.25">
      <c r="A46" t="s">
        <v>74</v>
      </c>
      <c r="B46">
        <v>1130</v>
      </c>
      <c r="C46">
        <v>14</v>
      </c>
      <c r="D46">
        <v>0.5</v>
      </c>
      <c r="E46" t="s">
        <v>125</v>
      </c>
      <c r="F46" t="s">
        <v>133</v>
      </c>
      <c r="G46" s="1"/>
    </row>
    <row r="47" spans="1:7" ht="14.25" customHeight="1" outlineLevel="1" x14ac:dyDescent="0.25">
      <c r="A47" t="s">
        <v>75</v>
      </c>
      <c r="B47">
        <v>1140</v>
      </c>
      <c r="C47">
        <v>0</v>
      </c>
      <c r="D47">
        <v>0</v>
      </c>
      <c r="E47" t="s">
        <v>125</v>
      </c>
      <c r="F47" t="s">
        <v>133</v>
      </c>
      <c r="G47" s="1"/>
    </row>
    <row r="48" spans="1:7" outlineLevel="1" x14ac:dyDescent="0.25">
      <c r="A48" t="s">
        <v>75</v>
      </c>
      <c r="B48">
        <v>1140</v>
      </c>
      <c r="C48">
        <v>1</v>
      </c>
      <c r="D48">
        <v>0.125</v>
      </c>
      <c r="E48" t="s">
        <v>125</v>
      </c>
      <c r="F48" t="s">
        <v>133</v>
      </c>
      <c r="G48" s="1"/>
    </row>
    <row r="49" spans="1:7" outlineLevel="1" x14ac:dyDescent="0.25">
      <c r="A49" t="s">
        <v>75</v>
      </c>
      <c r="B49">
        <v>1140</v>
      </c>
      <c r="C49">
        <v>2</v>
      </c>
      <c r="D49">
        <v>0.25</v>
      </c>
      <c r="E49" t="s">
        <v>125</v>
      </c>
      <c r="F49" t="s">
        <v>133</v>
      </c>
      <c r="G49" s="1"/>
    </row>
    <row r="50" spans="1:7" outlineLevel="1" x14ac:dyDescent="0.25">
      <c r="A50" t="s">
        <v>75</v>
      </c>
      <c r="B50">
        <v>1140</v>
      </c>
      <c r="C50">
        <v>3</v>
      </c>
      <c r="D50">
        <v>0.375</v>
      </c>
      <c r="E50" t="s">
        <v>125</v>
      </c>
      <c r="F50" t="s">
        <v>133</v>
      </c>
      <c r="G50" s="1"/>
    </row>
    <row r="51" spans="1:7" outlineLevel="1" x14ac:dyDescent="0.25">
      <c r="A51" t="s">
        <v>75</v>
      </c>
      <c r="B51">
        <v>1140</v>
      </c>
      <c r="C51">
        <v>4</v>
      </c>
      <c r="D51">
        <v>0.5</v>
      </c>
      <c r="E51" t="s">
        <v>125</v>
      </c>
      <c r="F51" t="s">
        <v>133</v>
      </c>
      <c r="G51" s="1"/>
    </row>
    <row r="52" spans="1:7" outlineLevel="1" x14ac:dyDescent="0.25">
      <c r="A52" t="s">
        <v>75</v>
      </c>
      <c r="B52">
        <v>1140</v>
      </c>
      <c r="C52">
        <v>5</v>
      </c>
      <c r="D52">
        <v>0.5</v>
      </c>
      <c r="E52" t="s">
        <v>125</v>
      </c>
      <c r="F52" t="s">
        <v>133</v>
      </c>
      <c r="G52" s="1"/>
    </row>
    <row r="53" spans="1:7" outlineLevel="1" x14ac:dyDescent="0.25">
      <c r="A53" t="s">
        <v>75</v>
      </c>
      <c r="B53">
        <v>1140</v>
      </c>
      <c r="C53">
        <v>6</v>
      </c>
      <c r="D53">
        <v>0.5</v>
      </c>
      <c r="E53" t="s">
        <v>125</v>
      </c>
      <c r="F53" t="s">
        <v>133</v>
      </c>
      <c r="G53" s="1"/>
    </row>
    <row r="54" spans="1:7" outlineLevel="1" x14ac:dyDescent="0.25">
      <c r="A54" t="s">
        <v>75</v>
      </c>
      <c r="B54">
        <v>1140</v>
      </c>
      <c r="C54">
        <v>7</v>
      </c>
      <c r="D54">
        <v>0.5</v>
      </c>
      <c r="E54" t="s">
        <v>125</v>
      </c>
      <c r="F54" t="s">
        <v>133</v>
      </c>
      <c r="G54" s="1"/>
    </row>
    <row r="55" spans="1:7" outlineLevel="1" x14ac:dyDescent="0.25">
      <c r="A55" t="s">
        <v>75</v>
      </c>
      <c r="B55">
        <v>1140</v>
      </c>
      <c r="C55">
        <v>8</v>
      </c>
      <c r="D55">
        <v>0.5</v>
      </c>
      <c r="E55" t="s">
        <v>125</v>
      </c>
      <c r="F55" t="s">
        <v>133</v>
      </c>
      <c r="G55" s="1"/>
    </row>
    <row r="56" spans="1:7" outlineLevel="1" x14ac:dyDescent="0.25">
      <c r="A56" t="s">
        <v>75</v>
      </c>
      <c r="B56">
        <v>1140</v>
      </c>
      <c r="C56">
        <v>9</v>
      </c>
      <c r="D56">
        <v>0.5</v>
      </c>
      <c r="E56" t="s">
        <v>125</v>
      </c>
      <c r="F56" t="s">
        <v>133</v>
      </c>
      <c r="G56" s="1"/>
    </row>
    <row r="57" spans="1:7" outlineLevel="1" x14ac:dyDescent="0.25">
      <c r="A57" t="s">
        <v>75</v>
      </c>
      <c r="B57">
        <v>1140</v>
      </c>
      <c r="C57">
        <v>10</v>
      </c>
      <c r="D57">
        <v>0.5</v>
      </c>
      <c r="E57" t="s">
        <v>125</v>
      </c>
      <c r="F57" t="s">
        <v>133</v>
      </c>
      <c r="G57" s="1"/>
    </row>
    <row r="58" spans="1:7" outlineLevel="1" x14ac:dyDescent="0.25">
      <c r="A58" t="s">
        <v>75</v>
      </c>
      <c r="B58">
        <v>1140</v>
      </c>
      <c r="C58">
        <v>11</v>
      </c>
      <c r="D58">
        <v>0.5</v>
      </c>
      <c r="E58" t="s">
        <v>125</v>
      </c>
      <c r="F58" t="s">
        <v>133</v>
      </c>
      <c r="G58" s="1"/>
    </row>
    <row r="59" spans="1:7" outlineLevel="1" x14ac:dyDescent="0.25">
      <c r="A59" t="s">
        <v>75</v>
      </c>
      <c r="B59">
        <v>1140</v>
      </c>
      <c r="C59">
        <v>12</v>
      </c>
      <c r="D59">
        <v>0.5</v>
      </c>
      <c r="E59" t="s">
        <v>125</v>
      </c>
      <c r="F59" t="s">
        <v>133</v>
      </c>
      <c r="G59" s="1"/>
    </row>
    <row r="60" spans="1:7" outlineLevel="1" x14ac:dyDescent="0.25">
      <c r="A60" t="s">
        <v>75</v>
      </c>
      <c r="B60">
        <v>1140</v>
      </c>
      <c r="C60">
        <v>13</v>
      </c>
      <c r="D60">
        <v>0.5</v>
      </c>
      <c r="E60" t="s">
        <v>125</v>
      </c>
      <c r="F60" t="s">
        <v>133</v>
      </c>
      <c r="G60" s="1"/>
    </row>
    <row r="61" spans="1:7" ht="15.75" customHeight="1" outlineLevel="1" x14ac:dyDescent="0.25">
      <c r="A61" t="s">
        <v>75</v>
      </c>
      <c r="B61">
        <v>1140</v>
      </c>
      <c r="C61">
        <v>14</v>
      </c>
      <c r="D61">
        <v>0.5</v>
      </c>
      <c r="E61" t="s">
        <v>125</v>
      </c>
      <c r="F61" t="s">
        <v>133</v>
      </c>
      <c r="G61" s="1"/>
    </row>
    <row r="62" spans="1:7" ht="14.25" customHeight="1" outlineLevel="1" x14ac:dyDescent="0.25">
      <c r="A62" t="s">
        <v>76</v>
      </c>
      <c r="B62">
        <v>1210</v>
      </c>
      <c r="C62">
        <v>0</v>
      </c>
      <c r="D62">
        <v>0</v>
      </c>
      <c r="E62" t="s">
        <v>131</v>
      </c>
      <c r="F62" t="s">
        <v>134</v>
      </c>
    </row>
    <row r="63" spans="1:7" outlineLevel="1" x14ac:dyDescent="0.25">
      <c r="A63" t="s">
        <v>76</v>
      </c>
      <c r="B63">
        <v>1210</v>
      </c>
      <c r="C63">
        <v>0.2</v>
      </c>
      <c r="D63">
        <v>0</v>
      </c>
      <c r="E63" t="s">
        <v>131</v>
      </c>
      <c r="F63" t="s">
        <v>134</v>
      </c>
    </row>
    <row r="64" spans="1:7" outlineLevel="1" x14ac:dyDescent="0.25">
      <c r="A64" t="s">
        <v>76</v>
      </c>
      <c r="B64">
        <v>1210</v>
      </c>
      <c r="C64">
        <v>0.4</v>
      </c>
      <c r="D64">
        <v>5.3666666666666689E-2</v>
      </c>
      <c r="E64" t="s">
        <v>131</v>
      </c>
      <c r="F64" t="s">
        <v>134</v>
      </c>
    </row>
    <row r="65" spans="1:6" outlineLevel="1" x14ac:dyDescent="0.25">
      <c r="A65" t="s">
        <v>76</v>
      </c>
      <c r="B65">
        <v>1210</v>
      </c>
      <c r="C65">
        <v>0.60000000000000009</v>
      </c>
      <c r="D65">
        <v>0.16300000000000003</v>
      </c>
      <c r="E65" t="s">
        <v>131</v>
      </c>
      <c r="F65" t="s">
        <v>134</v>
      </c>
    </row>
    <row r="66" spans="1:6" outlineLevel="1" x14ac:dyDescent="0.25">
      <c r="A66" t="s">
        <v>76</v>
      </c>
      <c r="B66">
        <v>1210</v>
      </c>
      <c r="C66">
        <v>0.8</v>
      </c>
      <c r="D66">
        <v>0.3003333333333334</v>
      </c>
      <c r="E66" t="s">
        <v>131</v>
      </c>
      <c r="F66" t="s">
        <v>134</v>
      </c>
    </row>
    <row r="67" spans="1:6" outlineLevel="1" x14ac:dyDescent="0.25">
      <c r="A67" t="s">
        <v>76</v>
      </c>
      <c r="B67">
        <v>1210</v>
      </c>
      <c r="C67">
        <v>1</v>
      </c>
      <c r="D67">
        <v>0.40166666666666673</v>
      </c>
      <c r="E67" t="s">
        <v>131</v>
      </c>
      <c r="F67" t="s">
        <v>134</v>
      </c>
    </row>
    <row r="68" spans="1:6" outlineLevel="1" x14ac:dyDescent="0.25">
      <c r="A68" t="s">
        <v>76</v>
      </c>
      <c r="B68">
        <v>1210</v>
      </c>
      <c r="C68">
        <v>1.2</v>
      </c>
      <c r="D68">
        <v>0.53700000000000014</v>
      </c>
      <c r="E68" t="s">
        <v>131</v>
      </c>
      <c r="F68" t="s">
        <v>134</v>
      </c>
    </row>
    <row r="69" spans="1:6" outlineLevel="1" x14ac:dyDescent="0.25">
      <c r="A69" t="s">
        <v>76</v>
      </c>
      <c r="B69">
        <v>1210</v>
      </c>
      <c r="C69">
        <v>1.4</v>
      </c>
      <c r="D69">
        <v>0.67233333333333345</v>
      </c>
      <c r="E69" t="s">
        <v>131</v>
      </c>
      <c r="F69" t="s">
        <v>134</v>
      </c>
    </row>
    <row r="70" spans="1:6" outlineLevel="1" x14ac:dyDescent="0.25">
      <c r="A70" t="s">
        <v>76</v>
      </c>
      <c r="B70">
        <v>1210</v>
      </c>
      <c r="C70">
        <v>1.5999999999999999</v>
      </c>
      <c r="D70">
        <v>0.76</v>
      </c>
      <c r="E70" t="s">
        <v>131</v>
      </c>
      <c r="F70" t="s">
        <v>134</v>
      </c>
    </row>
    <row r="71" spans="1:6" outlineLevel="1" x14ac:dyDescent="0.25">
      <c r="A71" t="s">
        <v>76</v>
      </c>
      <c r="B71">
        <v>1210</v>
      </c>
      <c r="C71">
        <v>1.7999999999999998</v>
      </c>
      <c r="D71">
        <v>0.79999999999999993</v>
      </c>
      <c r="E71" t="s">
        <v>131</v>
      </c>
      <c r="F71" t="s">
        <v>134</v>
      </c>
    </row>
    <row r="72" spans="1:6" outlineLevel="1" x14ac:dyDescent="0.25">
      <c r="A72" t="s">
        <v>76</v>
      </c>
      <c r="B72">
        <v>1210</v>
      </c>
      <c r="C72">
        <v>1.9999999999999998</v>
      </c>
      <c r="D72">
        <v>0.83999999999999986</v>
      </c>
      <c r="E72" t="s">
        <v>131</v>
      </c>
      <c r="F72" t="s">
        <v>134</v>
      </c>
    </row>
    <row r="73" spans="1:6" outlineLevel="1" x14ac:dyDescent="0.25">
      <c r="A73" t="s">
        <v>76</v>
      </c>
      <c r="B73">
        <v>1210</v>
      </c>
      <c r="C73">
        <v>2.1999999999999997</v>
      </c>
      <c r="D73">
        <v>0.87999999999999978</v>
      </c>
      <c r="E73" t="s">
        <v>131</v>
      </c>
      <c r="F73" t="s">
        <v>134</v>
      </c>
    </row>
    <row r="74" spans="1:6" outlineLevel="1" x14ac:dyDescent="0.25">
      <c r="A74" t="s">
        <v>76</v>
      </c>
      <c r="B74">
        <v>1210</v>
      </c>
      <c r="C74">
        <v>2.4</v>
      </c>
      <c r="D74">
        <v>0.91999999999999993</v>
      </c>
      <c r="E74" t="s">
        <v>131</v>
      </c>
      <c r="F74" t="s">
        <v>134</v>
      </c>
    </row>
    <row r="75" spans="1:6" outlineLevel="1" x14ac:dyDescent="0.25">
      <c r="A75" t="s">
        <v>76</v>
      </c>
      <c r="B75">
        <v>1210</v>
      </c>
      <c r="C75">
        <v>2.6</v>
      </c>
      <c r="D75">
        <v>0.91999999999999993</v>
      </c>
      <c r="E75" t="s">
        <v>131</v>
      </c>
      <c r="F75" t="s">
        <v>134</v>
      </c>
    </row>
    <row r="76" spans="1:6" outlineLevel="1" x14ac:dyDescent="0.25">
      <c r="A76" t="s">
        <v>76</v>
      </c>
      <c r="B76">
        <v>1210</v>
      </c>
      <c r="C76">
        <v>2.8000000000000003</v>
      </c>
      <c r="D76">
        <v>0.91999999999999993</v>
      </c>
      <c r="E76" t="s">
        <v>131</v>
      </c>
      <c r="F76" t="s">
        <v>134</v>
      </c>
    </row>
    <row r="77" spans="1:6" outlineLevel="1" x14ac:dyDescent="0.25">
      <c r="A77" t="s">
        <v>76</v>
      </c>
      <c r="B77">
        <v>1210</v>
      </c>
      <c r="C77">
        <v>3.0000000000000004</v>
      </c>
      <c r="D77">
        <v>0.91999999999999993</v>
      </c>
      <c r="E77" t="s">
        <v>131</v>
      </c>
      <c r="F77" t="s">
        <v>134</v>
      </c>
    </row>
    <row r="78" spans="1:6" outlineLevel="1" x14ac:dyDescent="0.25">
      <c r="A78" t="s">
        <v>76</v>
      </c>
      <c r="B78">
        <v>1210</v>
      </c>
      <c r="C78">
        <v>3.2000000000000006</v>
      </c>
      <c r="D78">
        <v>0.91999999999999993</v>
      </c>
      <c r="E78" t="s">
        <v>131</v>
      </c>
      <c r="F78" t="s">
        <v>134</v>
      </c>
    </row>
    <row r="79" spans="1:6" outlineLevel="1" x14ac:dyDescent="0.25">
      <c r="A79" t="s">
        <v>76</v>
      </c>
      <c r="B79">
        <v>1210</v>
      </c>
      <c r="C79">
        <v>3.4000000000000008</v>
      </c>
      <c r="D79">
        <v>0.91999999999999993</v>
      </c>
      <c r="E79" t="s">
        <v>131</v>
      </c>
      <c r="F79" t="s">
        <v>134</v>
      </c>
    </row>
    <row r="80" spans="1:6" outlineLevel="1" x14ac:dyDescent="0.25">
      <c r="A80" t="s">
        <v>76</v>
      </c>
      <c r="B80">
        <v>1210</v>
      </c>
      <c r="C80">
        <v>3.600000000000001</v>
      </c>
      <c r="D80">
        <v>0.91999999999999993</v>
      </c>
      <c r="E80" t="s">
        <v>131</v>
      </c>
      <c r="F80" t="s">
        <v>134</v>
      </c>
    </row>
    <row r="81" spans="1:6" outlineLevel="1" x14ac:dyDescent="0.25">
      <c r="A81" t="s">
        <v>76</v>
      </c>
      <c r="B81">
        <v>1210</v>
      </c>
      <c r="C81">
        <v>3.8000000000000012</v>
      </c>
      <c r="D81">
        <v>0.91999999999999993</v>
      </c>
      <c r="E81" t="s">
        <v>131</v>
      </c>
      <c r="F81" t="s">
        <v>134</v>
      </c>
    </row>
    <row r="82" spans="1:6" outlineLevel="1" x14ac:dyDescent="0.25">
      <c r="A82" t="s">
        <v>76</v>
      </c>
      <c r="B82">
        <v>1210</v>
      </c>
      <c r="C82">
        <v>4.0000000000000009</v>
      </c>
      <c r="D82">
        <v>0.91999999999999993</v>
      </c>
      <c r="E82" t="s">
        <v>131</v>
      </c>
      <c r="F82" t="s">
        <v>134</v>
      </c>
    </row>
    <row r="83" spans="1:6" ht="14.25" customHeight="1" outlineLevel="1" x14ac:dyDescent="0.25">
      <c r="A83" t="s">
        <v>77</v>
      </c>
      <c r="B83">
        <v>1220</v>
      </c>
      <c r="C83">
        <v>0</v>
      </c>
      <c r="D83">
        <v>0</v>
      </c>
      <c r="E83" t="s">
        <v>131</v>
      </c>
      <c r="F83" t="s">
        <v>134</v>
      </c>
    </row>
    <row r="84" spans="1:6" outlineLevel="1" x14ac:dyDescent="0.25">
      <c r="A84" t="s">
        <v>77</v>
      </c>
      <c r="B84">
        <v>1220</v>
      </c>
      <c r="C84">
        <v>0.2</v>
      </c>
      <c r="D84">
        <v>0</v>
      </c>
      <c r="E84" t="s">
        <v>131</v>
      </c>
      <c r="F84" t="s">
        <v>134</v>
      </c>
    </row>
    <row r="85" spans="1:6" outlineLevel="1" x14ac:dyDescent="0.25">
      <c r="A85" t="s">
        <v>77</v>
      </c>
      <c r="B85">
        <v>1220</v>
      </c>
      <c r="C85">
        <v>0.4</v>
      </c>
      <c r="D85">
        <v>5.3666666666666689E-2</v>
      </c>
      <c r="E85" t="s">
        <v>131</v>
      </c>
      <c r="F85" t="s">
        <v>134</v>
      </c>
    </row>
    <row r="86" spans="1:6" outlineLevel="1" x14ac:dyDescent="0.25">
      <c r="A86" t="s">
        <v>77</v>
      </c>
      <c r="B86">
        <v>1220</v>
      </c>
      <c r="C86">
        <v>0.60000000000000009</v>
      </c>
      <c r="D86">
        <v>0.16300000000000003</v>
      </c>
      <c r="E86" t="s">
        <v>131</v>
      </c>
      <c r="F86" t="s">
        <v>134</v>
      </c>
    </row>
    <row r="87" spans="1:6" outlineLevel="1" x14ac:dyDescent="0.25">
      <c r="A87" t="s">
        <v>77</v>
      </c>
      <c r="B87">
        <v>1220</v>
      </c>
      <c r="C87">
        <v>0.8</v>
      </c>
      <c r="D87">
        <v>0.3003333333333334</v>
      </c>
      <c r="E87" t="s">
        <v>131</v>
      </c>
      <c r="F87" t="s">
        <v>134</v>
      </c>
    </row>
    <row r="88" spans="1:6" outlineLevel="1" x14ac:dyDescent="0.25">
      <c r="A88" t="s">
        <v>77</v>
      </c>
      <c r="B88">
        <v>1220</v>
      </c>
      <c r="C88">
        <v>1</v>
      </c>
      <c r="D88">
        <v>0.40166666666666667</v>
      </c>
      <c r="E88" t="s">
        <v>131</v>
      </c>
      <c r="F88" t="s">
        <v>134</v>
      </c>
    </row>
    <row r="89" spans="1:6" outlineLevel="1" x14ac:dyDescent="0.25">
      <c r="A89" t="s">
        <v>77</v>
      </c>
      <c r="B89">
        <v>1220</v>
      </c>
      <c r="C89">
        <v>1.2</v>
      </c>
      <c r="D89">
        <v>0.53700000000000014</v>
      </c>
      <c r="E89" t="s">
        <v>131</v>
      </c>
      <c r="F89" t="s">
        <v>134</v>
      </c>
    </row>
    <row r="90" spans="1:6" outlineLevel="1" x14ac:dyDescent="0.25">
      <c r="A90" t="s">
        <v>77</v>
      </c>
      <c r="B90">
        <v>1220</v>
      </c>
      <c r="C90">
        <v>1.4</v>
      </c>
      <c r="D90">
        <v>0.67233333333333345</v>
      </c>
      <c r="E90" t="s">
        <v>131</v>
      </c>
      <c r="F90" t="s">
        <v>134</v>
      </c>
    </row>
    <row r="91" spans="1:6" outlineLevel="1" x14ac:dyDescent="0.25">
      <c r="A91" t="s">
        <v>77</v>
      </c>
      <c r="B91">
        <v>1220</v>
      </c>
      <c r="C91">
        <v>1.5999999999999999</v>
      </c>
      <c r="D91">
        <v>0.7599999999999999</v>
      </c>
      <c r="E91" t="s">
        <v>131</v>
      </c>
      <c r="F91" t="s">
        <v>134</v>
      </c>
    </row>
    <row r="92" spans="1:6" outlineLevel="1" x14ac:dyDescent="0.25">
      <c r="A92" t="s">
        <v>77</v>
      </c>
      <c r="B92">
        <v>1220</v>
      </c>
      <c r="C92">
        <v>1.7999999999999998</v>
      </c>
      <c r="D92">
        <v>0.79999999999999982</v>
      </c>
      <c r="E92" t="s">
        <v>131</v>
      </c>
      <c r="F92" t="s">
        <v>134</v>
      </c>
    </row>
    <row r="93" spans="1:6" outlineLevel="1" x14ac:dyDescent="0.25">
      <c r="A93" t="s">
        <v>77</v>
      </c>
      <c r="B93">
        <v>1220</v>
      </c>
      <c r="C93">
        <v>1.9999999999999998</v>
      </c>
      <c r="D93">
        <v>0.83999999999999986</v>
      </c>
      <c r="E93" t="s">
        <v>131</v>
      </c>
      <c r="F93" t="s">
        <v>134</v>
      </c>
    </row>
    <row r="94" spans="1:6" outlineLevel="1" x14ac:dyDescent="0.25">
      <c r="A94" t="s">
        <v>77</v>
      </c>
      <c r="B94">
        <v>1220</v>
      </c>
      <c r="C94">
        <v>2.1999999999999997</v>
      </c>
      <c r="D94">
        <v>0.87999999999999989</v>
      </c>
      <c r="E94" t="s">
        <v>131</v>
      </c>
      <c r="F94" t="s">
        <v>134</v>
      </c>
    </row>
    <row r="95" spans="1:6" outlineLevel="1" x14ac:dyDescent="0.25">
      <c r="A95" t="s">
        <v>77</v>
      </c>
      <c r="B95">
        <v>1220</v>
      </c>
      <c r="C95">
        <v>2.4</v>
      </c>
      <c r="D95">
        <v>0.91999999999999993</v>
      </c>
      <c r="E95" t="s">
        <v>131</v>
      </c>
      <c r="F95" t="s">
        <v>134</v>
      </c>
    </row>
    <row r="96" spans="1:6" outlineLevel="1" x14ac:dyDescent="0.25">
      <c r="A96" t="s">
        <v>77</v>
      </c>
      <c r="B96">
        <v>1220</v>
      </c>
      <c r="C96">
        <v>2.6</v>
      </c>
      <c r="D96">
        <v>0.91999999999999993</v>
      </c>
      <c r="E96" t="s">
        <v>131</v>
      </c>
      <c r="F96" t="s">
        <v>134</v>
      </c>
    </row>
    <row r="97" spans="1:6" outlineLevel="1" x14ac:dyDescent="0.25">
      <c r="A97" t="s">
        <v>77</v>
      </c>
      <c r="B97">
        <v>1220</v>
      </c>
      <c r="C97">
        <v>2.8000000000000003</v>
      </c>
      <c r="D97">
        <v>0.91999999999999993</v>
      </c>
      <c r="E97" t="s">
        <v>131</v>
      </c>
      <c r="F97" t="s">
        <v>134</v>
      </c>
    </row>
    <row r="98" spans="1:6" outlineLevel="1" x14ac:dyDescent="0.25">
      <c r="A98" t="s">
        <v>77</v>
      </c>
      <c r="B98">
        <v>1220</v>
      </c>
      <c r="C98">
        <v>3.0000000000000004</v>
      </c>
      <c r="D98">
        <v>0.91999999999999993</v>
      </c>
      <c r="E98" t="s">
        <v>131</v>
      </c>
      <c r="F98" t="s">
        <v>134</v>
      </c>
    </row>
    <row r="99" spans="1:6" outlineLevel="1" x14ac:dyDescent="0.25">
      <c r="A99" t="s">
        <v>77</v>
      </c>
      <c r="B99">
        <v>1220</v>
      </c>
      <c r="C99">
        <v>3.2000000000000006</v>
      </c>
      <c r="D99">
        <v>0.91999999999999993</v>
      </c>
      <c r="E99" t="s">
        <v>131</v>
      </c>
      <c r="F99" t="s">
        <v>134</v>
      </c>
    </row>
    <row r="100" spans="1:6" outlineLevel="1" x14ac:dyDescent="0.25">
      <c r="A100" t="s">
        <v>77</v>
      </c>
      <c r="B100">
        <v>1220</v>
      </c>
      <c r="C100">
        <v>3.4000000000000008</v>
      </c>
      <c r="D100">
        <v>0.91999999999999993</v>
      </c>
      <c r="E100" t="s">
        <v>131</v>
      </c>
      <c r="F100" t="s">
        <v>134</v>
      </c>
    </row>
    <row r="101" spans="1:6" outlineLevel="1" x14ac:dyDescent="0.25">
      <c r="A101" t="s">
        <v>77</v>
      </c>
      <c r="B101">
        <v>1220</v>
      </c>
      <c r="C101">
        <v>3.600000000000001</v>
      </c>
      <c r="D101">
        <v>0.91999999999999993</v>
      </c>
      <c r="E101" t="s">
        <v>131</v>
      </c>
      <c r="F101" t="s">
        <v>134</v>
      </c>
    </row>
    <row r="102" spans="1:6" outlineLevel="1" x14ac:dyDescent="0.25">
      <c r="A102" t="s">
        <v>77</v>
      </c>
      <c r="B102">
        <v>1220</v>
      </c>
      <c r="C102">
        <v>3.8000000000000012</v>
      </c>
      <c r="D102">
        <v>0.91999999999999993</v>
      </c>
      <c r="E102" t="s">
        <v>131</v>
      </c>
      <c r="F102" t="s">
        <v>134</v>
      </c>
    </row>
    <row r="103" spans="1:6" outlineLevel="1" x14ac:dyDescent="0.25">
      <c r="A103" t="s">
        <v>77</v>
      </c>
      <c r="B103">
        <v>1220</v>
      </c>
      <c r="C103">
        <v>4.0000000000000009</v>
      </c>
      <c r="D103">
        <v>0.91999999999999993</v>
      </c>
      <c r="E103" t="s">
        <v>131</v>
      </c>
      <c r="F103" t="s">
        <v>134</v>
      </c>
    </row>
    <row r="104" spans="1:6" ht="14.25" customHeight="1" outlineLevel="1" x14ac:dyDescent="0.25">
      <c r="A104" t="s">
        <v>78</v>
      </c>
      <c r="B104">
        <v>1310</v>
      </c>
      <c r="C104" s="2">
        <v>0</v>
      </c>
      <c r="D104" s="17">
        <v>0</v>
      </c>
      <c r="E104" t="s">
        <v>125</v>
      </c>
      <c r="F104" t="s">
        <v>133</v>
      </c>
    </row>
    <row r="105" spans="1:6" outlineLevel="1" x14ac:dyDescent="0.25">
      <c r="A105" t="s">
        <v>78</v>
      </c>
      <c r="B105">
        <v>1310</v>
      </c>
      <c r="C105" s="2">
        <v>1</v>
      </c>
      <c r="D105" s="17">
        <v>0</v>
      </c>
      <c r="E105" t="s">
        <v>125</v>
      </c>
      <c r="F105" t="s">
        <v>133</v>
      </c>
    </row>
    <row r="106" spans="1:6" outlineLevel="1" x14ac:dyDescent="0.25">
      <c r="A106" t="s">
        <v>78</v>
      </c>
      <c r="B106">
        <v>1310</v>
      </c>
      <c r="C106" s="2">
        <v>2</v>
      </c>
      <c r="D106" s="17">
        <v>0.2</v>
      </c>
      <c r="E106" t="s">
        <v>125</v>
      </c>
      <c r="F106" t="s">
        <v>133</v>
      </c>
    </row>
    <row r="107" spans="1:6" outlineLevel="1" x14ac:dyDescent="0.25">
      <c r="A107" t="s">
        <v>78</v>
      </c>
      <c r="B107">
        <v>1310</v>
      </c>
      <c r="C107" s="2">
        <v>3</v>
      </c>
      <c r="D107" s="17">
        <v>0.5</v>
      </c>
      <c r="E107" t="s">
        <v>125</v>
      </c>
      <c r="F107" t="s">
        <v>133</v>
      </c>
    </row>
    <row r="108" spans="1:6" outlineLevel="1" x14ac:dyDescent="0.25">
      <c r="A108" t="s">
        <v>78</v>
      </c>
      <c r="B108">
        <v>1310</v>
      </c>
      <c r="C108" s="2">
        <v>4</v>
      </c>
      <c r="D108" s="17">
        <v>0.625</v>
      </c>
      <c r="E108" t="s">
        <v>125</v>
      </c>
      <c r="F108" t="s">
        <v>133</v>
      </c>
    </row>
    <row r="109" spans="1:6" outlineLevel="1" x14ac:dyDescent="0.25">
      <c r="A109" t="s">
        <v>78</v>
      </c>
      <c r="B109">
        <v>1310</v>
      </c>
      <c r="C109" s="2">
        <v>5</v>
      </c>
      <c r="D109" s="17">
        <v>0.75</v>
      </c>
      <c r="E109" t="s">
        <v>125</v>
      </c>
      <c r="F109" t="s">
        <v>133</v>
      </c>
    </row>
    <row r="110" spans="1:6" outlineLevel="1" x14ac:dyDescent="0.25">
      <c r="A110" t="s">
        <v>78</v>
      </c>
      <c r="B110">
        <v>1310</v>
      </c>
      <c r="C110" s="2">
        <v>6</v>
      </c>
      <c r="D110" s="17">
        <v>0.875</v>
      </c>
      <c r="E110" t="s">
        <v>125</v>
      </c>
      <c r="F110" t="s">
        <v>133</v>
      </c>
    </row>
    <row r="111" spans="1:6" outlineLevel="1" x14ac:dyDescent="0.25">
      <c r="A111" t="s">
        <v>78</v>
      </c>
      <c r="B111">
        <v>1310</v>
      </c>
      <c r="C111" s="2">
        <v>7</v>
      </c>
      <c r="D111" s="17">
        <v>1</v>
      </c>
      <c r="E111" t="s">
        <v>125</v>
      </c>
      <c r="F111" t="s">
        <v>133</v>
      </c>
    </row>
    <row r="112" spans="1:6" outlineLevel="1" x14ac:dyDescent="0.25">
      <c r="A112" t="s">
        <v>78</v>
      </c>
      <c r="B112">
        <v>1310</v>
      </c>
      <c r="C112" s="2">
        <v>8</v>
      </c>
      <c r="D112" s="17">
        <v>1</v>
      </c>
      <c r="E112" t="s">
        <v>125</v>
      </c>
      <c r="F112" t="s">
        <v>133</v>
      </c>
    </row>
    <row r="113" spans="1:6" outlineLevel="1" x14ac:dyDescent="0.25">
      <c r="A113" t="s">
        <v>78</v>
      </c>
      <c r="B113">
        <v>1310</v>
      </c>
      <c r="C113" s="2">
        <v>9</v>
      </c>
      <c r="D113" s="17">
        <v>1</v>
      </c>
      <c r="E113" t="s">
        <v>125</v>
      </c>
      <c r="F113" t="s">
        <v>133</v>
      </c>
    </row>
    <row r="114" spans="1:6" outlineLevel="1" x14ac:dyDescent="0.25">
      <c r="A114" t="s">
        <v>78</v>
      </c>
      <c r="B114">
        <v>1310</v>
      </c>
      <c r="C114" s="2">
        <v>10</v>
      </c>
      <c r="D114" s="17">
        <v>1</v>
      </c>
      <c r="E114" t="s">
        <v>125</v>
      </c>
      <c r="F114" t="s">
        <v>133</v>
      </c>
    </row>
    <row r="115" spans="1:6" outlineLevel="1" x14ac:dyDescent="0.25">
      <c r="A115" t="s">
        <v>78</v>
      </c>
      <c r="B115">
        <v>1310</v>
      </c>
      <c r="C115" s="2">
        <v>11</v>
      </c>
      <c r="D115" s="17">
        <v>1</v>
      </c>
      <c r="E115" t="s">
        <v>125</v>
      </c>
      <c r="F115" t="s">
        <v>133</v>
      </c>
    </row>
    <row r="116" spans="1:6" outlineLevel="1" x14ac:dyDescent="0.25">
      <c r="A116" t="s">
        <v>78</v>
      </c>
      <c r="B116">
        <v>1310</v>
      </c>
      <c r="C116" s="2">
        <v>12</v>
      </c>
      <c r="D116" s="17">
        <v>1</v>
      </c>
      <c r="E116" t="s">
        <v>125</v>
      </c>
      <c r="F116" t="s">
        <v>133</v>
      </c>
    </row>
    <row r="117" spans="1:6" outlineLevel="1" x14ac:dyDescent="0.25">
      <c r="A117" t="s">
        <v>78</v>
      </c>
      <c r="B117">
        <v>1310</v>
      </c>
      <c r="C117" s="2">
        <v>13</v>
      </c>
      <c r="D117" s="17">
        <v>1</v>
      </c>
      <c r="E117" t="s">
        <v>125</v>
      </c>
      <c r="F117" t="s">
        <v>133</v>
      </c>
    </row>
    <row r="118" spans="1:6" outlineLevel="1" x14ac:dyDescent="0.25">
      <c r="A118" t="s">
        <v>78</v>
      </c>
      <c r="B118">
        <v>1310</v>
      </c>
      <c r="C118" s="2">
        <v>14</v>
      </c>
      <c r="D118" s="17">
        <v>1</v>
      </c>
      <c r="E118" t="s">
        <v>125</v>
      </c>
      <c r="F118" t="s">
        <v>133</v>
      </c>
    </row>
    <row r="119" spans="1:6" ht="14.25" customHeight="1" outlineLevel="1" x14ac:dyDescent="0.25">
      <c r="A119" t="s">
        <v>79</v>
      </c>
      <c r="B119">
        <v>1320</v>
      </c>
      <c r="C119" s="2">
        <v>0</v>
      </c>
      <c r="D119" s="17">
        <v>0</v>
      </c>
      <c r="E119" t="s">
        <v>125</v>
      </c>
      <c r="F119" t="s">
        <v>133</v>
      </c>
    </row>
    <row r="120" spans="1:6" outlineLevel="1" x14ac:dyDescent="0.25">
      <c r="A120" t="s">
        <v>79</v>
      </c>
      <c r="B120">
        <v>1320</v>
      </c>
      <c r="C120" s="2">
        <v>1</v>
      </c>
      <c r="D120" s="17">
        <v>7.1428571428571425E-2</v>
      </c>
      <c r="E120" t="s">
        <v>125</v>
      </c>
      <c r="F120" t="s">
        <v>133</v>
      </c>
    </row>
    <row r="121" spans="1:6" outlineLevel="1" x14ac:dyDescent="0.25">
      <c r="A121" t="s">
        <v>79</v>
      </c>
      <c r="B121">
        <v>1320</v>
      </c>
      <c r="C121" s="2">
        <v>2</v>
      </c>
      <c r="D121" s="17">
        <v>0.14285714285714285</v>
      </c>
      <c r="E121" t="s">
        <v>125</v>
      </c>
      <c r="F121" t="s">
        <v>133</v>
      </c>
    </row>
    <row r="122" spans="1:6" outlineLevel="1" x14ac:dyDescent="0.25">
      <c r="A122" t="s">
        <v>79</v>
      </c>
      <c r="B122">
        <v>1320</v>
      </c>
      <c r="C122" s="2">
        <v>3</v>
      </c>
      <c r="D122" s="17">
        <v>0.21428571428571427</v>
      </c>
      <c r="E122" t="s">
        <v>125</v>
      </c>
      <c r="F122" t="s">
        <v>133</v>
      </c>
    </row>
    <row r="123" spans="1:6" outlineLevel="1" x14ac:dyDescent="0.25">
      <c r="A123" t="s">
        <v>79</v>
      </c>
      <c r="B123">
        <v>1320</v>
      </c>
      <c r="C123" s="2">
        <v>4</v>
      </c>
      <c r="D123" s="17">
        <v>0.2857142857142857</v>
      </c>
      <c r="E123" t="s">
        <v>125</v>
      </c>
      <c r="F123" t="s">
        <v>133</v>
      </c>
    </row>
    <row r="124" spans="1:6" outlineLevel="1" x14ac:dyDescent="0.25">
      <c r="A124" t="s">
        <v>79</v>
      </c>
      <c r="B124">
        <v>1320</v>
      </c>
      <c r="C124" s="2">
        <v>5</v>
      </c>
      <c r="D124" s="17">
        <v>0.3571428571428571</v>
      </c>
      <c r="E124" t="s">
        <v>125</v>
      </c>
      <c r="F124" t="s">
        <v>133</v>
      </c>
    </row>
    <row r="125" spans="1:6" outlineLevel="1" x14ac:dyDescent="0.25">
      <c r="A125" t="s">
        <v>79</v>
      </c>
      <c r="B125">
        <v>1320</v>
      </c>
      <c r="C125" s="2">
        <v>6</v>
      </c>
      <c r="D125" s="17">
        <v>0.42857142857142849</v>
      </c>
      <c r="E125" t="s">
        <v>125</v>
      </c>
      <c r="F125" t="s">
        <v>133</v>
      </c>
    </row>
    <row r="126" spans="1:6" outlineLevel="1" x14ac:dyDescent="0.25">
      <c r="A126" t="s">
        <v>79</v>
      </c>
      <c r="B126">
        <v>1320</v>
      </c>
      <c r="C126" s="2">
        <v>7</v>
      </c>
      <c r="D126" s="17">
        <v>0.5</v>
      </c>
      <c r="E126" t="s">
        <v>125</v>
      </c>
      <c r="F126" t="s">
        <v>133</v>
      </c>
    </row>
    <row r="127" spans="1:6" outlineLevel="1" x14ac:dyDescent="0.25">
      <c r="A127" t="s">
        <v>79</v>
      </c>
      <c r="B127">
        <v>1320</v>
      </c>
      <c r="C127" s="2">
        <v>8</v>
      </c>
      <c r="D127" s="17">
        <v>0.5714285714285714</v>
      </c>
      <c r="E127" t="s">
        <v>125</v>
      </c>
      <c r="F127" t="s">
        <v>133</v>
      </c>
    </row>
    <row r="128" spans="1:6" outlineLevel="1" x14ac:dyDescent="0.25">
      <c r="A128" t="s">
        <v>79</v>
      </c>
      <c r="B128">
        <v>1320</v>
      </c>
      <c r="C128" s="2">
        <v>9</v>
      </c>
      <c r="D128" s="17">
        <v>0.64285714285714279</v>
      </c>
      <c r="E128" t="s">
        <v>125</v>
      </c>
      <c r="F128" t="s">
        <v>133</v>
      </c>
    </row>
    <row r="129" spans="1:6" outlineLevel="1" x14ac:dyDescent="0.25">
      <c r="A129" t="s">
        <v>79</v>
      </c>
      <c r="B129">
        <v>1320</v>
      </c>
      <c r="C129" s="2">
        <v>10</v>
      </c>
      <c r="D129" s="17">
        <v>0.71428571428571419</v>
      </c>
      <c r="E129" t="s">
        <v>125</v>
      </c>
      <c r="F129" t="s">
        <v>133</v>
      </c>
    </row>
    <row r="130" spans="1:6" outlineLevel="1" x14ac:dyDescent="0.25">
      <c r="A130" t="s">
        <v>79</v>
      </c>
      <c r="B130">
        <v>1320</v>
      </c>
      <c r="C130" s="2">
        <v>11</v>
      </c>
      <c r="D130" s="17">
        <v>0.78571428571428559</v>
      </c>
      <c r="E130" t="s">
        <v>125</v>
      </c>
      <c r="F130" t="s">
        <v>133</v>
      </c>
    </row>
    <row r="131" spans="1:6" outlineLevel="1" x14ac:dyDescent="0.25">
      <c r="A131" t="s">
        <v>79</v>
      </c>
      <c r="B131">
        <v>1320</v>
      </c>
      <c r="C131" s="2">
        <v>12</v>
      </c>
      <c r="D131" s="17">
        <v>0.85714285714285698</v>
      </c>
      <c r="E131" t="s">
        <v>125</v>
      </c>
      <c r="F131" t="s">
        <v>133</v>
      </c>
    </row>
    <row r="132" spans="1:6" outlineLevel="1" x14ac:dyDescent="0.25">
      <c r="A132" t="s">
        <v>79</v>
      </c>
      <c r="B132">
        <v>1320</v>
      </c>
      <c r="C132" s="2">
        <v>13</v>
      </c>
      <c r="D132" s="17">
        <v>0.92857142857142838</v>
      </c>
      <c r="E132" t="s">
        <v>125</v>
      </c>
      <c r="F132" t="s">
        <v>133</v>
      </c>
    </row>
    <row r="133" spans="1:6" outlineLevel="1" x14ac:dyDescent="0.25">
      <c r="A133" t="s">
        <v>79</v>
      </c>
      <c r="B133">
        <v>1320</v>
      </c>
      <c r="C133" s="2">
        <v>14</v>
      </c>
      <c r="D133" s="17">
        <v>1</v>
      </c>
      <c r="E133" t="s">
        <v>125</v>
      </c>
      <c r="F133" t="s">
        <v>133</v>
      </c>
    </row>
    <row r="134" spans="1:6" ht="14.25" customHeight="1" outlineLevel="1" x14ac:dyDescent="0.25">
      <c r="A134" t="s">
        <v>80</v>
      </c>
      <c r="B134">
        <v>1330</v>
      </c>
      <c r="C134" s="2">
        <v>0</v>
      </c>
      <c r="D134" s="17">
        <v>0</v>
      </c>
      <c r="E134" t="s">
        <v>125</v>
      </c>
      <c r="F134" t="s">
        <v>133</v>
      </c>
    </row>
    <row r="135" spans="1:6" outlineLevel="1" x14ac:dyDescent="0.25">
      <c r="A135" t="s">
        <v>80</v>
      </c>
      <c r="B135">
        <v>1330</v>
      </c>
      <c r="C135" s="2">
        <v>1</v>
      </c>
      <c r="D135" s="17">
        <v>0.4</v>
      </c>
      <c r="E135" t="s">
        <v>125</v>
      </c>
      <c r="F135" t="s">
        <v>133</v>
      </c>
    </row>
    <row r="136" spans="1:6" outlineLevel="1" x14ac:dyDescent="0.25">
      <c r="A136" t="s">
        <v>80</v>
      </c>
      <c r="B136">
        <v>1330</v>
      </c>
      <c r="C136" s="2">
        <v>2</v>
      </c>
      <c r="D136" s="17">
        <v>0.6</v>
      </c>
      <c r="E136" t="s">
        <v>125</v>
      </c>
      <c r="F136" t="s">
        <v>133</v>
      </c>
    </row>
    <row r="137" spans="1:6" outlineLevel="1" x14ac:dyDescent="0.25">
      <c r="A137" t="s">
        <v>80</v>
      </c>
      <c r="B137">
        <v>1330</v>
      </c>
      <c r="C137" s="2">
        <v>3</v>
      </c>
      <c r="D137" s="17">
        <v>1</v>
      </c>
      <c r="E137" t="s">
        <v>125</v>
      </c>
      <c r="F137" t="s">
        <v>133</v>
      </c>
    </row>
    <row r="138" spans="1:6" outlineLevel="1" x14ac:dyDescent="0.25">
      <c r="A138" t="s">
        <v>80</v>
      </c>
      <c r="B138">
        <v>1330</v>
      </c>
      <c r="C138" s="2">
        <v>4</v>
      </c>
      <c r="D138" s="17">
        <v>1</v>
      </c>
      <c r="E138" t="s">
        <v>125</v>
      </c>
      <c r="F138" t="s">
        <v>133</v>
      </c>
    </row>
    <row r="139" spans="1:6" outlineLevel="1" x14ac:dyDescent="0.25">
      <c r="A139" t="s">
        <v>80</v>
      </c>
      <c r="B139">
        <v>1330</v>
      </c>
      <c r="C139" s="2">
        <v>5</v>
      </c>
      <c r="D139" s="17">
        <v>1</v>
      </c>
      <c r="E139" t="s">
        <v>125</v>
      </c>
      <c r="F139" t="s">
        <v>133</v>
      </c>
    </row>
    <row r="140" spans="1:6" outlineLevel="1" x14ac:dyDescent="0.25">
      <c r="A140" t="s">
        <v>80</v>
      </c>
      <c r="B140">
        <v>1330</v>
      </c>
      <c r="C140" s="2">
        <v>6</v>
      </c>
      <c r="D140" s="17">
        <v>1</v>
      </c>
      <c r="E140" t="s">
        <v>125</v>
      </c>
      <c r="F140" t="s">
        <v>133</v>
      </c>
    </row>
    <row r="141" spans="1:6" outlineLevel="1" x14ac:dyDescent="0.25">
      <c r="A141" t="s">
        <v>80</v>
      </c>
      <c r="B141">
        <v>1330</v>
      </c>
      <c r="C141" s="2">
        <v>7</v>
      </c>
      <c r="D141" s="17">
        <v>1</v>
      </c>
      <c r="E141" t="s">
        <v>125</v>
      </c>
      <c r="F141" t="s">
        <v>133</v>
      </c>
    </row>
    <row r="142" spans="1:6" outlineLevel="1" x14ac:dyDescent="0.25">
      <c r="A142" t="s">
        <v>80</v>
      </c>
      <c r="B142">
        <v>1330</v>
      </c>
      <c r="C142" s="2">
        <v>8</v>
      </c>
      <c r="D142" s="17">
        <v>1</v>
      </c>
      <c r="E142" t="s">
        <v>125</v>
      </c>
      <c r="F142" t="s">
        <v>133</v>
      </c>
    </row>
    <row r="143" spans="1:6" outlineLevel="1" x14ac:dyDescent="0.25">
      <c r="A143" t="s">
        <v>80</v>
      </c>
      <c r="B143">
        <v>1330</v>
      </c>
      <c r="C143" s="2">
        <v>9</v>
      </c>
      <c r="D143" s="17">
        <v>1</v>
      </c>
      <c r="E143" t="s">
        <v>125</v>
      </c>
      <c r="F143" t="s">
        <v>133</v>
      </c>
    </row>
    <row r="144" spans="1:6" outlineLevel="1" x14ac:dyDescent="0.25">
      <c r="A144" t="s">
        <v>80</v>
      </c>
      <c r="B144">
        <v>1330</v>
      </c>
      <c r="C144" s="2">
        <v>10</v>
      </c>
      <c r="D144" s="17">
        <v>1</v>
      </c>
      <c r="E144" t="s">
        <v>125</v>
      </c>
      <c r="F144" t="s">
        <v>133</v>
      </c>
    </row>
    <row r="145" spans="1:6" outlineLevel="1" x14ac:dyDescent="0.25">
      <c r="A145" t="s">
        <v>80</v>
      </c>
      <c r="B145">
        <v>1330</v>
      </c>
      <c r="C145" s="2">
        <v>11</v>
      </c>
      <c r="D145" s="17">
        <v>1</v>
      </c>
      <c r="E145" t="s">
        <v>125</v>
      </c>
      <c r="F145" t="s">
        <v>133</v>
      </c>
    </row>
    <row r="146" spans="1:6" outlineLevel="1" x14ac:dyDescent="0.25">
      <c r="A146" t="s">
        <v>80</v>
      </c>
      <c r="B146">
        <v>1330</v>
      </c>
      <c r="C146" s="2">
        <v>12</v>
      </c>
      <c r="D146" s="17">
        <v>1</v>
      </c>
      <c r="E146" t="s">
        <v>125</v>
      </c>
      <c r="F146" t="s">
        <v>133</v>
      </c>
    </row>
    <row r="147" spans="1:6" outlineLevel="1" x14ac:dyDescent="0.25">
      <c r="A147" t="s">
        <v>80</v>
      </c>
      <c r="B147">
        <v>1330</v>
      </c>
      <c r="C147" s="2">
        <v>13</v>
      </c>
      <c r="D147" s="17">
        <v>1</v>
      </c>
      <c r="E147" t="s">
        <v>125</v>
      </c>
      <c r="F147" t="s">
        <v>133</v>
      </c>
    </row>
    <row r="148" spans="1:6" outlineLevel="1" x14ac:dyDescent="0.25">
      <c r="A148" t="s">
        <v>80</v>
      </c>
      <c r="B148">
        <v>1330</v>
      </c>
      <c r="C148" s="2">
        <v>14</v>
      </c>
      <c r="D148" s="17">
        <v>1</v>
      </c>
      <c r="E148" t="s">
        <v>125</v>
      </c>
      <c r="F148" t="s">
        <v>133</v>
      </c>
    </row>
    <row r="149" spans="1:6" outlineLevel="1" x14ac:dyDescent="0.25">
      <c r="A149" s="16" t="s">
        <v>81</v>
      </c>
      <c r="B149" s="16">
        <v>1340</v>
      </c>
      <c r="C149">
        <v>0</v>
      </c>
      <c r="D149">
        <v>0</v>
      </c>
      <c r="E149" t="s">
        <v>131</v>
      </c>
      <c r="F149" t="s">
        <v>134</v>
      </c>
    </row>
    <row r="150" spans="1:6" outlineLevel="1" x14ac:dyDescent="0.25">
      <c r="A150" s="16" t="s">
        <v>81</v>
      </c>
      <c r="B150" s="16">
        <v>1340</v>
      </c>
      <c r="C150">
        <v>0.2</v>
      </c>
      <c r="D150">
        <v>0</v>
      </c>
      <c r="E150" t="s">
        <v>131</v>
      </c>
      <c r="F150" t="s">
        <v>134</v>
      </c>
    </row>
    <row r="151" spans="1:6" outlineLevel="1" x14ac:dyDescent="0.25">
      <c r="A151" s="16" t="s">
        <v>81</v>
      </c>
      <c r="B151" s="16">
        <v>1340</v>
      </c>
      <c r="C151">
        <v>0.4</v>
      </c>
      <c r="D151">
        <v>0</v>
      </c>
      <c r="E151" t="s">
        <v>131</v>
      </c>
      <c r="F151" t="s">
        <v>134</v>
      </c>
    </row>
    <row r="152" spans="1:6" outlineLevel="1" x14ac:dyDescent="0.25">
      <c r="A152" s="16" t="s">
        <v>81</v>
      </c>
      <c r="B152" s="16">
        <v>1340</v>
      </c>
      <c r="C152">
        <v>0.60000000000000009</v>
      </c>
      <c r="D152">
        <v>1</v>
      </c>
      <c r="E152" t="s">
        <v>131</v>
      </c>
      <c r="F152" t="s">
        <v>134</v>
      </c>
    </row>
    <row r="153" spans="1:6" outlineLevel="1" x14ac:dyDescent="0.25">
      <c r="A153" s="16" t="s">
        <v>81</v>
      </c>
      <c r="B153" s="16">
        <v>1340</v>
      </c>
      <c r="C153">
        <v>0.8</v>
      </c>
      <c r="D153">
        <v>1</v>
      </c>
      <c r="E153" t="s">
        <v>131</v>
      </c>
      <c r="F153" t="s">
        <v>134</v>
      </c>
    </row>
    <row r="154" spans="1:6" outlineLevel="1" x14ac:dyDescent="0.25">
      <c r="A154" s="16" t="s">
        <v>81</v>
      </c>
      <c r="B154" s="16">
        <v>1340</v>
      </c>
      <c r="C154">
        <v>1</v>
      </c>
      <c r="D154">
        <v>1</v>
      </c>
      <c r="E154" t="s">
        <v>131</v>
      </c>
      <c r="F154" t="s">
        <v>134</v>
      </c>
    </row>
    <row r="155" spans="1:6" outlineLevel="1" x14ac:dyDescent="0.25">
      <c r="A155" s="16" t="s">
        <v>81</v>
      </c>
      <c r="B155" s="16">
        <v>1340</v>
      </c>
      <c r="C155">
        <v>1.2</v>
      </c>
      <c r="D155">
        <v>1</v>
      </c>
      <c r="E155" t="s">
        <v>131</v>
      </c>
      <c r="F155" t="s">
        <v>134</v>
      </c>
    </row>
    <row r="156" spans="1:6" outlineLevel="1" x14ac:dyDescent="0.25">
      <c r="A156" s="16" t="s">
        <v>81</v>
      </c>
      <c r="B156" s="16">
        <v>1340</v>
      </c>
      <c r="C156">
        <v>1.4</v>
      </c>
      <c r="D156">
        <v>1</v>
      </c>
      <c r="E156" t="s">
        <v>131</v>
      </c>
      <c r="F156" t="s">
        <v>134</v>
      </c>
    </row>
    <row r="157" spans="1:6" outlineLevel="1" x14ac:dyDescent="0.25">
      <c r="A157" s="16" t="s">
        <v>81</v>
      </c>
      <c r="B157" s="16">
        <v>1340</v>
      </c>
      <c r="C157">
        <v>1.5999999999999999</v>
      </c>
      <c r="D157">
        <v>1</v>
      </c>
      <c r="E157" t="s">
        <v>131</v>
      </c>
      <c r="F157" t="s">
        <v>134</v>
      </c>
    </row>
    <row r="158" spans="1:6" outlineLevel="1" x14ac:dyDescent="0.25">
      <c r="A158" s="16" t="s">
        <v>81</v>
      </c>
      <c r="B158" s="16">
        <v>1340</v>
      </c>
      <c r="C158">
        <v>1.7999999999999998</v>
      </c>
      <c r="D158">
        <v>1</v>
      </c>
      <c r="E158" t="s">
        <v>131</v>
      </c>
      <c r="F158" t="s">
        <v>134</v>
      </c>
    </row>
    <row r="159" spans="1:6" outlineLevel="1" x14ac:dyDescent="0.25">
      <c r="A159" s="16" t="s">
        <v>81</v>
      </c>
      <c r="B159" s="16">
        <v>1340</v>
      </c>
      <c r="C159">
        <v>1.9999999999999998</v>
      </c>
      <c r="D159">
        <v>1</v>
      </c>
      <c r="E159" t="s">
        <v>131</v>
      </c>
      <c r="F159" t="s">
        <v>134</v>
      </c>
    </row>
    <row r="160" spans="1:6" outlineLevel="1" x14ac:dyDescent="0.25">
      <c r="A160" s="16" t="s">
        <v>81</v>
      </c>
      <c r="B160" s="16">
        <v>1340</v>
      </c>
      <c r="C160">
        <v>2.1999999999999997</v>
      </c>
      <c r="D160">
        <v>1</v>
      </c>
      <c r="E160" t="s">
        <v>131</v>
      </c>
      <c r="F160" t="s">
        <v>134</v>
      </c>
    </row>
    <row r="161" spans="1:6" outlineLevel="1" x14ac:dyDescent="0.25">
      <c r="A161" s="16" t="s">
        <v>81</v>
      </c>
      <c r="B161" s="16">
        <v>1340</v>
      </c>
      <c r="C161">
        <v>2.4</v>
      </c>
      <c r="D161">
        <v>1</v>
      </c>
      <c r="E161" t="s">
        <v>131</v>
      </c>
      <c r="F161" t="s">
        <v>134</v>
      </c>
    </row>
    <row r="162" spans="1:6" outlineLevel="1" x14ac:dyDescent="0.25">
      <c r="A162" s="16" t="s">
        <v>81</v>
      </c>
      <c r="B162" s="16">
        <v>1340</v>
      </c>
      <c r="C162">
        <v>2.6</v>
      </c>
      <c r="D162">
        <v>1</v>
      </c>
      <c r="E162" t="s">
        <v>131</v>
      </c>
      <c r="F162" t="s">
        <v>134</v>
      </c>
    </row>
    <row r="163" spans="1:6" outlineLevel="1" x14ac:dyDescent="0.25">
      <c r="A163" s="16" t="s">
        <v>81</v>
      </c>
      <c r="B163" s="16">
        <v>1340</v>
      </c>
      <c r="C163">
        <v>2.8000000000000003</v>
      </c>
      <c r="D163">
        <v>1</v>
      </c>
      <c r="E163" t="s">
        <v>131</v>
      </c>
      <c r="F163" t="s">
        <v>134</v>
      </c>
    </row>
    <row r="164" spans="1:6" outlineLevel="1" x14ac:dyDescent="0.25">
      <c r="A164" s="16" t="s">
        <v>81</v>
      </c>
      <c r="B164" s="16">
        <v>1340</v>
      </c>
      <c r="C164">
        <v>3.0000000000000004</v>
      </c>
      <c r="D164">
        <v>1</v>
      </c>
      <c r="E164" t="s">
        <v>131</v>
      </c>
      <c r="F164" t="s">
        <v>134</v>
      </c>
    </row>
    <row r="165" spans="1:6" outlineLevel="1" x14ac:dyDescent="0.25">
      <c r="A165" s="16" t="s">
        <v>81</v>
      </c>
      <c r="B165" s="16">
        <v>1340</v>
      </c>
      <c r="C165">
        <v>3.2000000000000006</v>
      </c>
      <c r="D165">
        <v>1</v>
      </c>
      <c r="E165" t="s">
        <v>131</v>
      </c>
      <c r="F165" t="s">
        <v>134</v>
      </c>
    </row>
    <row r="166" spans="1:6" outlineLevel="1" x14ac:dyDescent="0.25">
      <c r="A166" s="16" t="s">
        <v>81</v>
      </c>
      <c r="B166" s="16">
        <v>1340</v>
      </c>
      <c r="C166">
        <v>3.4000000000000008</v>
      </c>
      <c r="D166">
        <v>1</v>
      </c>
      <c r="E166" t="s">
        <v>131</v>
      </c>
      <c r="F166" t="s">
        <v>134</v>
      </c>
    </row>
    <row r="167" spans="1:6" outlineLevel="1" x14ac:dyDescent="0.25">
      <c r="A167" s="16" t="s">
        <v>81</v>
      </c>
      <c r="B167" s="16">
        <v>1340</v>
      </c>
      <c r="C167">
        <v>3.600000000000001</v>
      </c>
      <c r="D167">
        <v>1</v>
      </c>
      <c r="E167" t="s">
        <v>131</v>
      </c>
      <c r="F167" t="s">
        <v>134</v>
      </c>
    </row>
    <row r="168" spans="1:6" outlineLevel="1" x14ac:dyDescent="0.25">
      <c r="A168" s="16" t="s">
        <v>81</v>
      </c>
      <c r="B168" s="16">
        <v>1340</v>
      </c>
      <c r="C168">
        <v>3.8000000000000012</v>
      </c>
      <c r="D168">
        <v>1</v>
      </c>
      <c r="E168" t="s">
        <v>131</v>
      </c>
      <c r="F168" t="s">
        <v>134</v>
      </c>
    </row>
    <row r="169" spans="1:6" outlineLevel="1" x14ac:dyDescent="0.25">
      <c r="A169" s="16" t="s">
        <v>81</v>
      </c>
      <c r="B169" s="16">
        <v>1340</v>
      </c>
      <c r="C169">
        <v>4.0000000000000009</v>
      </c>
      <c r="D169">
        <v>1</v>
      </c>
      <c r="E169" t="s">
        <v>131</v>
      </c>
      <c r="F169" t="s">
        <v>134</v>
      </c>
    </row>
    <row r="170" spans="1:6" outlineLevel="1" x14ac:dyDescent="0.25">
      <c r="A170" s="16" t="s">
        <v>82</v>
      </c>
      <c r="B170" s="16">
        <v>1390</v>
      </c>
      <c r="C170" s="2">
        <v>0</v>
      </c>
      <c r="D170" s="17">
        <f xml:space="preserve"> D119</f>
        <v>0</v>
      </c>
      <c r="E170" t="s">
        <v>125</v>
      </c>
      <c r="F170" t="s">
        <v>133</v>
      </c>
    </row>
    <row r="171" spans="1:6" outlineLevel="1" x14ac:dyDescent="0.25">
      <c r="A171" s="16" t="s">
        <v>82</v>
      </c>
      <c r="B171" s="16">
        <v>1390</v>
      </c>
      <c r="C171" s="2">
        <v>1</v>
      </c>
      <c r="D171" s="17">
        <f t="shared" ref="D171:D184" si="0" xml:space="preserve"> D120</f>
        <v>7.1428571428571425E-2</v>
      </c>
      <c r="E171" t="s">
        <v>125</v>
      </c>
      <c r="F171" t="s">
        <v>133</v>
      </c>
    </row>
    <row r="172" spans="1:6" outlineLevel="1" x14ac:dyDescent="0.25">
      <c r="A172" s="16" t="s">
        <v>82</v>
      </c>
      <c r="B172" s="16">
        <v>1390</v>
      </c>
      <c r="C172" s="2">
        <v>2</v>
      </c>
      <c r="D172" s="17">
        <f t="shared" si="0"/>
        <v>0.14285714285714285</v>
      </c>
      <c r="E172" t="s">
        <v>125</v>
      </c>
      <c r="F172" t="s">
        <v>133</v>
      </c>
    </row>
    <row r="173" spans="1:6" outlineLevel="1" x14ac:dyDescent="0.25">
      <c r="A173" s="16" t="s">
        <v>82</v>
      </c>
      <c r="B173" s="16">
        <v>1390</v>
      </c>
      <c r="C173" s="2">
        <v>3</v>
      </c>
      <c r="D173" s="17">
        <f t="shared" si="0"/>
        <v>0.21428571428571427</v>
      </c>
      <c r="E173" t="s">
        <v>125</v>
      </c>
      <c r="F173" t="s">
        <v>133</v>
      </c>
    </row>
    <row r="174" spans="1:6" outlineLevel="1" x14ac:dyDescent="0.25">
      <c r="A174" s="16" t="s">
        <v>82</v>
      </c>
      <c r="B174" s="16">
        <v>1390</v>
      </c>
      <c r="C174" s="2">
        <v>4</v>
      </c>
      <c r="D174" s="17">
        <f t="shared" si="0"/>
        <v>0.2857142857142857</v>
      </c>
      <c r="E174" t="s">
        <v>125</v>
      </c>
      <c r="F174" t="s">
        <v>133</v>
      </c>
    </row>
    <row r="175" spans="1:6" outlineLevel="1" x14ac:dyDescent="0.25">
      <c r="A175" s="16" t="s">
        <v>82</v>
      </c>
      <c r="B175" s="16">
        <v>1390</v>
      </c>
      <c r="C175" s="2">
        <v>5</v>
      </c>
      <c r="D175" s="17">
        <f t="shared" si="0"/>
        <v>0.3571428571428571</v>
      </c>
      <c r="E175" t="s">
        <v>125</v>
      </c>
      <c r="F175" t="s">
        <v>133</v>
      </c>
    </row>
    <row r="176" spans="1:6" outlineLevel="1" x14ac:dyDescent="0.25">
      <c r="A176" s="16" t="s">
        <v>82</v>
      </c>
      <c r="B176" s="16">
        <v>1390</v>
      </c>
      <c r="C176" s="2">
        <v>6</v>
      </c>
      <c r="D176" s="17">
        <f t="shared" si="0"/>
        <v>0.42857142857142849</v>
      </c>
      <c r="E176" t="s">
        <v>125</v>
      </c>
      <c r="F176" t="s">
        <v>133</v>
      </c>
    </row>
    <row r="177" spans="1:6" outlineLevel="1" x14ac:dyDescent="0.25">
      <c r="A177" s="16" t="s">
        <v>82</v>
      </c>
      <c r="B177" s="16">
        <v>1390</v>
      </c>
      <c r="C177" s="2">
        <v>7</v>
      </c>
      <c r="D177" s="17">
        <f t="shared" si="0"/>
        <v>0.5</v>
      </c>
      <c r="E177" t="s">
        <v>125</v>
      </c>
      <c r="F177" t="s">
        <v>133</v>
      </c>
    </row>
    <row r="178" spans="1:6" outlineLevel="1" x14ac:dyDescent="0.25">
      <c r="A178" s="16" t="s">
        <v>82</v>
      </c>
      <c r="B178" s="16">
        <v>1390</v>
      </c>
      <c r="C178" s="2">
        <v>8</v>
      </c>
      <c r="D178" s="17">
        <f t="shared" si="0"/>
        <v>0.5714285714285714</v>
      </c>
      <c r="E178" t="s">
        <v>125</v>
      </c>
      <c r="F178" t="s">
        <v>133</v>
      </c>
    </row>
    <row r="179" spans="1:6" outlineLevel="1" x14ac:dyDescent="0.25">
      <c r="A179" s="16" t="s">
        <v>82</v>
      </c>
      <c r="B179" s="16">
        <v>1390</v>
      </c>
      <c r="C179" s="2">
        <v>9</v>
      </c>
      <c r="D179" s="17">
        <f t="shared" si="0"/>
        <v>0.64285714285714279</v>
      </c>
      <c r="E179" t="s">
        <v>125</v>
      </c>
      <c r="F179" t="s">
        <v>133</v>
      </c>
    </row>
    <row r="180" spans="1:6" outlineLevel="1" x14ac:dyDescent="0.25">
      <c r="A180" s="16" t="s">
        <v>82</v>
      </c>
      <c r="B180" s="16">
        <v>1390</v>
      </c>
      <c r="C180" s="2">
        <v>10</v>
      </c>
      <c r="D180" s="17">
        <f t="shared" si="0"/>
        <v>0.71428571428571419</v>
      </c>
      <c r="E180" t="s">
        <v>125</v>
      </c>
      <c r="F180" t="s">
        <v>133</v>
      </c>
    </row>
    <row r="181" spans="1:6" outlineLevel="1" x14ac:dyDescent="0.25">
      <c r="A181" s="16" t="s">
        <v>82</v>
      </c>
      <c r="B181" s="16">
        <v>1390</v>
      </c>
      <c r="C181" s="2">
        <v>11</v>
      </c>
      <c r="D181" s="17">
        <f t="shared" si="0"/>
        <v>0.78571428571428559</v>
      </c>
      <c r="E181" t="s">
        <v>125</v>
      </c>
      <c r="F181" t="s">
        <v>133</v>
      </c>
    </row>
    <row r="182" spans="1:6" outlineLevel="1" x14ac:dyDescent="0.25">
      <c r="A182" s="16" t="s">
        <v>82</v>
      </c>
      <c r="B182" s="16">
        <v>1390</v>
      </c>
      <c r="C182" s="2">
        <v>12</v>
      </c>
      <c r="D182" s="17">
        <f t="shared" si="0"/>
        <v>0.85714285714285698</v>
      </c>
      <c r="E182" t="s">
        <v>125</v>
      </c>
      <c r="F182" t="s">
        <v>133</v>
      </c>
    </row>
    <row r="183" spans="1:6" outlineLevel="1" x14ac:dyDescent="0.25">
      <c r="A183" s="16" t="s">
        <v>82</v>
      </c>
      <c r="B183" s="16">
        <v>1390</v>
      </c>
      <c r="C183" s="2">
        <v>13</v>
      </c>
      <c r="D183" s="17">
        <f t="shared" si="0"/>
        <v>0.92857142857142838</v>
      </c>
      <c r="E183" t="s">
        <v>125</v>
      </c>
      <c r="F183" t="s">
        <v>133</v>
      </c>
    </row>
    <row r="184" spans="1:6" outlineLevel="1" x14ac:dyDescent="0.25">
      <c r="A184" s="16" t="s">
        <v>82</v>
      </c>
      <c r="B184" s="16">
        <v>1390</v>
      </c>
      <c r="C184" s="2">
        <v>14</v>
      </c>
      <c r="D184" s="17">
        <f t="shared" si="0"/>
        <v>1</v>
      </c>
      <c r="E184" t="s">
        <v>125</v>
      </c>
      <c r="F184" t="s">
        <v>133</v>
      </c>
    </row>
    <row r="185" spans="1:6" outlineLevel="1" x14ac:dyDescent="0.25">
      <c r="A185" s="16" t="s">
        <v>123</v>
      </c>
      <c r="B185" s="16">
        <v>1395</v>
      </c>
      <c r="C185">
        <v>0</v>
      </c>
      <c r="D185" s="17">
        <f xml:space="preserve"> D134</f>
        <v>0</v>
      </c>
      <c r="E185" t="s">
        <v>131</v>
      </c>
      <c r="F185" t="s">
        <v>134</v>
      </c>
    </row>
    <row r="186" spans="1:6" outlineLevel="1" x14ac:dyDescent="0.25">
      <c r="A186" s="16" t="s">
        <v>123</v>
      </c>
      <c r="B186" s="16">
        <v>1395</v>
      </c>
      <c r="C186">
        <v>0.2</v>
      </c>
      <c r="D186" s="17">
        <v>0</v>
      </c>
      <c r="E186" t="s">
        <v>131</v>
      </c>
      <c r="F186" t="s">
        <v>134</v>
      </c>
    </row>
    <row r="187" spans="1:6" outlineLevel="1" x14ac:dyDescent="0.25">
      <c r="A187" s="16" t="s">
        <v>123</v>
      </c>
      <c r="B187" s="16">
        <v>1395</v>
      </c>
      <c r="C187">
        <v>0.4</v>
      </c>
      <c r="D187" s="17">
        <v>0</v>
      </c>
      <c r="E187" t="s">
        <v>131</v>
      </c>
      <c r="F187" t="s">
        <v>134</v>
      </c>
    </row>
    <row r="188" spans="1:6" outlineLevel="1" x14ac:dyDescent="0.25">
      <c r="A188" s="16" t="s">
        <v>123</v>
      </c>
      <c r="B188" s="16">
        <v>1395</v>
      </c>
      <c r="C188">
        <v>0.60000000000000009</v>
      </c>
      <c r="D188" s="17">
        <v>0.5</v>
      </c>
      <c r="E188" t="s">
        <v>131</v>
      </c>
      <c r="F188" t="s">
        <v>134</v>
      </c>
    </row>
    <row r="189" spans="1:6" outlineLevel="1" x14ac:dyDescent="0.25">
      <c r="A189" s="16" t="s">
        <v>123</v>
      </c>
      <c r="B189" s="16">
        <v>1395</v>
      </c>
      <c r="C189">
        <v>0.8</v>
      </c>
      <c r="D189" s="17">
        <v>0.75</v>
      </c>
      <c r="E189" t="s">
        <v>131</v>
      </c>
      <c r="F189" t="s">
        <v>134</v>
      </c>
    </row>
    <row r="190" spans="1:6" outlineLevel="1" x14ac:dyDescent="0.25">
      <c r="A190" s="16" t="s">
        <v>123</v>
      </c>
      <c r="B190" s="16">
        <v>1395</v>
      </c>
      <c r="C190">
        <v>1</v>
      </c>
      <c r="D190" s="17">
        <v>0.9</v>
      </c>
      <c r="E190" t="s">
        <v>131</v>
      </c>
      <c r="F190" t="s">
        <v>134</v>
      </c>
    </row>
    <row r="191" spans="1:6" outlineLevel="1" x14ac:dyDescent="0.25">
      <c r="A191" s="16" t="s">
        <v>123</v>
      </c>
      <c r="B191" s="16">
        <v>1395</v>
      </c>
      <c r="C191">
        <v>1.2</v>
      </c>
      <c r="D191" s="17">
        <v>0.9</v>
      </c>
      <c r="E191" t="s">
        <v>131</v>
      </c>
      <c r="F191" t="s">
        <v>134</v>
      </c>
    </row>
    <row r="192" spans="1:6" outlineLevel="1" x14ac:dyDescent="0.25">
      <c r="A192" s="16" t="s">
        <v>123</v>
      </c>
      <c r="B192" s="16">
        <v>1395</v>
      </c>
      <c r="C192">
        <v>1.4</v>
      </c>
      <c r="D192" s="17">
        <v>0.9</v>
      </c>
      <c r="E192" t="s">
        <v>131</v>
      </c>
      <c r="F192" t="s">
        <v>134</v>
      </c>
    </row>
    <row r="193" spans="1:6" outlineLevel="1" x14ac:dyDescent="0.25">
      <c r="A193" s="16" t="s">
        <v>123</v>
      </c>
      <c r="B193" s="16">
        <v>1395</v>
      </c>
      <c r="C193">
        <v>1.5999999999999999</v>
      </c>
      <c r="D193" s="17">
        <v>0.9</v>
      </c>
      <c r="E193" t="s">
        <v>131</v>
      </c>
      <c r="F193" t="s">
        <v>134</v>
      </c>
    </row>
    <row r="194" spans="1:6" outlineLevel="1" x14ac:dyDescent="0.25">
      <c r="A194" s="16" t="s">
        <v>123</v>
      </c>
      <c r="B194" s="16">
        <v>1395</v>
      </c>
      <c r="C194">
        <v>1.7999999999999998</v>
      </c>
      <c r="D194" s="17">
        <v>0.9</v>
      </c>
      <c r="E194" t="s">
        <v>131</v>
      </c>
      <c r="F194" t="s">
        <v>134</v>
      </c>
    </row>
    <row r="195" spans="1:6" outlineLevel="1" x14ac:dyDescent="0.25">
      <c r="A195" s="16" t="s">
        <v>123</v>
      </c>
      <c r="B195" s="16">
        <v>1395</v>
      </c>
      <c r="C195" s="22">
        <v>1.9999999999999998</v>
      </c>
      <c r="D195" s="17">
        <v>0.9</v>
      </c>
      <c r="E195" t="s">
        <v>131</v>
      </c>
      <c r="F195" t="s">
        <v>134</v>
      </c>
    </row>
    <row r="196" spans="1:6" outlineLevel="1" x14ac:dyDescent="0.25">
      <c r="A196" s="16" t="s">
        <v>123</v>
      </c>
      <c r="B196" s="16">
        <v>1395</v>
      </c>
      <c r="C196" s="22">
        <v>2.2000000000000002</v>
      </c>
      <c r="D196" s="17">
        <v>0.9</v>
      </c>
      <c r="E196" t="s">
        <v>131</v>
      </c>
      <c r="F196" t="s">
        <v>134</v>
      </c>
    </row>
    <row r="197" spans="1:6" outlineLevel="1" x14ac:dyDescent="0.25">
      <c r="A197" s="16" t="s">
        <v>123</v>
      </c>
      <c r="B197" s="16">
        <v>1395</v>
      </c>
      <c r="C197" s="22">
        <v>2.4</v>
      </c>
      <c r="D197" s="17">
        <v>0.9</v>
      </c>
      <c r="E197" t="s">
        <v>131</v>
      </c>
      <c r="F197" t="s">
        <v>134</v>
      </c>
    </row>
    <row r="198" spans="1:6" outlineLevel="1" x14ac:dyDescent="0.25">
      <c r="A198" s="16" t="s">
        <v>123</v>
      </c>
      <c r="B198" s="16">
        <v>1395</v>
      </c>
      <c r="C198" s="22">
        <v>2.6</v>
      </c>
      <c r="D198" s="17">
        <v>0.9</v>
      </c>
      <c r="E198" t="s">
        <v>131</v>
      </c>
      <c r="F198" t="s">
        <v>134</v>
      </c>
    </row>
    <row r="199" spans="1:6" outlineLevel="1" x14ac:dyDescent="0.25">
      <c r="A199" s="16" t="s">
        <v>123</v>
      </c>
      <c r="B199" s="16">
        <v>1395</v>
      </c>
      <c r="C199" s="22">
        <v>2.8</v>
      </c>
      <c r="D199" s="17">
        <v>0.9</v>
      </c>
      <c r="E199" t="s">
        <v>131</v>
      </c>
      <c r="F199" t="s">
        <v>134</v>
      </c>
    </row>
    <row r="200" spans="1:6" ht="14.25" customHeight="1" outlineLevel="1" x14ac:dyDescent="0.25">
      <c r="A200" t="s">
        <v>83</v>
      </c>
      <c r="B200">
        <v>1410</v>
      </c>
      <c r="C200" s="17">
        <v>0</v>
      </c>
      <c r="D200" s="17">
        <v>0</v>
      </c>
      <c r="E200" t="s">
        <v>131</v>
      </c>
      <c r="F200" t="s">
        <v>134</v>
      </c>
    </row>
    <row r="201" spans="1:6" outlineLevel="1" x14ac:dyDescent="0.25">
      <c r="A201" t="s">
        <v>83</v>
      </c>
      <c r="B201">
        <v>1410</v>
      </c>
      <c r="C201" s="17">
        <v>0.2</v>
      </c>
      <c r="D201" s="17">
        <v>2.1360161083226335E-2</v>
      </c>
      <c r="E201" t="s">
        <v>131</v>
      </c>
      <c r="F201" t="s">
        <v>134</v>
      </c>
    </row>
    <row r="202" spans="1:6" outlineLevel="1" x14ac:dyDescent="0.25">
      <c r="A202" t="s">
        <v>83</v>
      </c>
      <c r="B202">
        <v>1410</v>
      </c>
      <c r="C202" s="17">
        <v>0.4</v>
      </c>
      <c r="D202" s="17">
        <v>4.2720322166452669E-2</v>
      </c>
      <c r="E202" t="s">
        <v>131</v>
      </c>
      <c r="F202" t="s">
        <v>134</v>
      </c>
    </row>
    <row r="203" spans="1:6" outlineLevel="1" x14ac:dyDescent="0.25">
      <c r="A203" t="s">
        <v>83</v>
      </c>
      <c r="B203">
        <v>1410</v>
      </c>
      <c r="C203" s="17">
        <v>0.60000000000000009</v>
      </c>
      <c r="D203" s="17">
        <v>6.4080483249678993E-2</v>
      </c>
      <c r="E203" t="s">
        <v>131</v>
      </c>
      <c r="F203" t="s">
        <v>134</v>
      </c>
    </row>
    <row r="204" spans="1:6" outlineLevel="1" x14ac:dyDescent="0.25">
      <c r="A204" t="s">
        <v>83</v>
      </c>
      <c r="B204">
        <v>1410</v>
      </c>
      <c r="C204" s="17">
        <v>0.8</v>
      </c>
      <c r="D204" s="17">
        <v>8.5440644332905338E-2</v>
      </c>
      <c r="E204" t="s">
        <v>131</v>
      </c>
      <c r="F204" t="s">
        <v>134</v>
      </c>
    </row>
    <row r="205" spans="1:6" outlineLevel="1" x14ac:dyDescent="0.25">
      <c r="A205" t="s">
        <v>83</v>
      </c>
      <c r="B205">
        <v>1410</v>
      </c>
      <c r="C205" s="17">
        <v>1</v>
      </c>
      <c r="D205" s="17">
        <v>0.10680080541613167</v>
      </c>
      <c r="E205" t="s">
        <v>131</v>
      </c>
      <c r="F205" t="s">
        <v>134</v>
      </c>
    </row>
    <row r="206" spans="1:6" outlineLevel="1" x14ac:dyDescent="0.25">
      <c r="A206" t="s">
        <v>83</v>
      </c>
      <c r="B206">
        <v>1410</v>
      </c>
      <c r="C206" s="17">
        <v>1.2</v>
      </c>
      <c r="D206" s="17">
        <v>0.12816096649935801</v>
      </c>
      <c r="E206" t="s">
        <v>131</v>
      </c>
      <c r="F206" t="s">
        <v>134</v>
      </c>
    </row>
    <row r="207" spans="1:6" outlineLevel="1" x14ac:dyDescent="0.25">
      <c r="A207" t="s">
        <v>83</v>
      </c>
      <c r="B207">
        <v>1410</v>
      </c>
      <c r="C207" s="17">
        <v>1.4</v>
      </c>
      <c r="D207" s="17">
        <v>0.17671384381930666</v>
      </c>
      <c r="E207" t="s">
        <v>131</v>
      </c>
      <c r="F207" t="s">
        <v>134</v>
      </c>
    </row>
    <row r="208" spans="1:6" outlineLevel="1" x14ac:dyDescent="0.25">
      <c r="A208" t="s">
        <v>83</v>
      </c>
      <c r="B208">
        <v>1410</v>
      </c>
      <c r="C208" s="17">
        <v>1.5999999999999999</v>
      </c>
      <c r="D208" s="17">
        <v>0.19807400490253299</v>
      </c>
      <c r="E208" t="s">
        <v>131</v>
      </c>
      <c r="F208" t="s">
        <v>134</v>
      </c>
    </row>
    <row r="209" spans="1:6" outlineLevel="1" x14ac:dyDescent="0.25">
      <c r="A209" t="s">
        <v>83</v>
      </c>
      <c r="B209">
        <v>1410</v>
      </c>
      <c r="C209" s="17">
        <v>1.7999999999999998</v>
      </c>
      <c r="D209" s="17">
        <v>0.21943416598575932</v>
      </c>
      <c r="E209" t="s">
        <v>131</v>
      </c>
      <c r="F209" t="s">
        <v>134</v>
      </c>
    </row>
    <row r="210" spans="1:6" outlineLevel="1" x14ac:dyDescent="0.25">
      <c r="A210" t="s">
        <v>83</v>
      </c>
      <c r="B210">
        <v>1410</v>
      </c>
      <c r="C210" s="17">
        <v>1.9999999999999998</v>
      </c>
      <c r="D210" s="17">
        <v>0.24079432706898565</v>
      </c>
      <c r="E210" t="s">
        <v>131</v>
      </c>
      <c r="F210" t="s">
        <v>134</v>
      </c>
    </row>
    <row r="211" spans="1:6" outlineLevel="1" x14ac:dyDescent="0.25">
      <c r="A211" t="s">
        <v>83</v>
      </c>
      <c r="B211">
        <v>1410</v>
      </c>
      <c r="C211" s="17">
        <v>2.1999999999999997</v>
      </c>
      <c r="D211" s="17">
        <v>0.26215448815221198</v>
      </c>
      <c r="E211" t="s">
        <v>131</v>
      </c>
      <c r="F211" t="s">
        <v>134</v>
      </c>
    </row>
    <row r="212" spans="1:6" outlineLevel="1" x14ac:dyDescent="0.25">
      <c r="A212" t="s">
        <v>83</v>
      </c>
      <c r="B212">
        <v>1410</v>
      </c>
      <c r="C212" s="17">
        <v>2.4</v>
      </c>
      <c r="D212" s="17">
        <v>0.28351464923543834</v>
      </c>
      <c r="E212" t="s">
        <v>131</v>
      </c>
      <c r="F212" t="s">
        <v>134</v>
      </c>
    </row>
    <row r="213" spans="1:6" outlineLevel="1" x14ac:dyDescent="0.25">
      <c r="A213" t="s">
        <v>83</v>
      </c>
      <c r="B213">
        <v>1410</v>
      </c>
      <c r="C213" s="17">
        <v>2.6</v>
      </c>
      <c r="D213" s="17">
        <v>0.32285660091047041</v>
      </c>
      <c r="E213" t="s">
        <v>131</v>
      </c>
      <c r="F213" t="s">
        <v>134</v>
      </c>
    </row>
    <row r="214" spans="1:6" outlineLevel="1" x14ac:dyDescent="0.25">
      <c r="A214" t="s">
        <v>83</v>
      </c>
      <c r="B214">
        <v>1410</v>
      </c>
      <c r="C214" s="17">
        <v>2.8000000000000003</v>
      </c>
      <c r="D214" s="17">
        <v>0.32285660091047041</v>
      </c>
      <c r="E214" t="s">
        <v>131</v>
      </c>
      <c r="F214" t="s">
        <v>134</v>
      </c>
    </row>
    <row r="215" spans="1:6" outlineLevel="1" x14ac:dyDescent="0.25">
      <c r="A215" t="s">
        <v>83</v>
      </c>
      <c r="B215">
        <v>1410</v>
      </c>
      <c r="C215" s="17">
        <v>3.0000000000000004</v>
      </c>
      <c r="D215" s="17">
        <v>0.32285660091047041</v>
      </c>
      <c r="E215" t="s">
        <v>131</v>
      </c>
      <c r="F215" t="s">
        <v>134</v>
      </c>
    </row>
    <row r="216" spans="1:6" outlineLevel="1" x14ac:dyDescent="0.25">
      <c r="A216" t="s">
        <v>83</v>
      </c>
      <c r="B216">
        <v>1410</v>
      </c>
      <c r="C216" s="17">
        <v>3.2000000000000006</v>
      </c>
      <c r="D216" s="17">
        <v>0.32285660091047041</v>
      </c>
      <c r="E216" t="s">
        <v>131</v>
      </c>
      <c r="F216" t="s">
        <v>134</v>
      </c>
    </row>
    <row r="217" spans="1:6" outlineLevel="1" x14ac:dyDescent="0.25">
      <c r="A217" t="s">
        <v>83</v>
      </c>
      <c r="B217">
        <v>1410</v>
      </c>
      <c r="C217" s="17">
        <v>3.4000000000000008</v>
      </c>
      <c r="D217" s="17">
        <v>0.32285660091047041</v>
      </c>
      <c r="E217" t="s">
        <v>131</v>
      </c>
      <c r="F217" t="s">
        <v>134</v>
      </c>
    </row>
    <row r="218" spans="1:6" outlineLevel="1" x14ac:dyDescent="0.25">
      <c r="A218" t="s">
        <v>83</v>
      </c>
      <c r="B218">
        <v>1410</v>
      </c>
      <c r="C218" s="17">
        <v>3.600000000000001</v>
      </c>
      <c r="D218" s="17">
        <v>0.32285660091047041</v>
      </c>
      <c r="E218" t="s">
        <v>131</v>
      </c>
      <c r="F218" t="s">
        <v>134</v>
      </c>
    </row>
    <row r="219" spans="1:6" outlineLevel="1" x14ac:dyDescent="0.25">
      <c r="A219" t="s">
        <v>83</v>
      </c>
      <c r="B219">
        <v>1410</v>
      </c>
      <c r="C219" s="17">
        <v>3.8000000000000012</v>
      </c>
      <c r="D219" s="17">
        <v>0.32285660091047041</v>
      </c>
      <c r="E219" t="s">
        <v>131</v>
      </c>
      <c r="F219" t="s">
        <v>134</v>
      </c>
    </row>
    <row r="220" spans="1:6" outlineLevel="1" x14ac:dyDescent="0.25">
      <c r="A220" t="s">
        <v>83</v>
      </c>
      <c r="B220">
        <v>1410</v>
      </c>
      <c r="C220" s="17">
        <v>4.0000000000000009</v>
      </c>
      <c r="D220" s="17">
        <v>0.32285660091047041</v>
      </c>
      <c r="E220" t="s">
        <v>131</v>
      </c>
      <c r="F220" t="s">
        <v>134</v>
      </c>
    </row>
    <row r="221" spans="1:6" ht="14.25" customHeight="1" outlineLevel="1" x14ac:dyDescent="0.25">
      <c r="A221" t="s">
        <v>84</v>
      </c>
      <c r="B221">
        <v>1411</v>
      </c>
      <c r="C221" s="17">
        <v>0</v>
      </c>
      <c r="D221" s="17">
        <v>0</v>
      </c>
      <c r="E221" t="s">
        <v>131</v>
      </c>
      <c r="F221" t="s">
        <v>134</v>
      </c>
    </row>
    <row r="222" spans="1:6" outlineLevel="1" x14ac:dyDescent="0.25">
      <c r="A222" t="s">
        <v>84</v>
      </c>
      <c r="B222">
        <v>1411</v>
      </c>
      <c r="C222" s="17">
        <v>0.2</v>
      </c>
      <c r="D222" s="17">
        <v>3.2403717766320832E-2</v>
      </c>
      <c r="E222" t="s">
        <v>131</v>
      </c>
      <c r="F222" t="s">
        <v>134</v>
      </c>
    </row>
    <row r="223" spans="1:6" outlineLevel="1" x14ac:dyDescent="0.25">
      <c r="A223" t="s">
        <v>84</v>
      </c>
      <c r="B223">
        <v>1411</v>
      </c>
      <c r="C223" s="17">
        <v>0.4</v>
      </c>
      <c r="D223" s="17">
        <v>6.4807435532641663E-2</v>
      </c>
      <c r="E223" t="s">
        <v>131</v>
      </c>
      <c r="F223" t="s">
        <v>134</v>
      </c>
    </row>
    <row r="224" spans="1:6" outlineLevel="1" x14ac:dyDescent="0.25">
      <c r="A224" t="s">
        <v>84</v>
      </c>
      <c r="B224">
        <v>1411</v>
      </c>
      <c r="C224" s="17">
        <v>0.60000000000000009</v>
      </c>
      <c r="D224" s="17">
        <v>8.9965987669418962E-2</v>
      </c>
      <c r="E224" t="s">
        <v>131</v>
      </c>
      <c r="F224" t="s">
        <v>134</v>
      </c>
    </row>
    <row r="225" spans="1:6" outlineLevel="1" x14ac:dyDescent="0.25">
      <c r="A225" t="s">
        <v>84</v>
      </c>
      <c r="B225">
        <v>1411</v>
      </c>
      <c r="C225" s="17">
        <v>0.8</v>
      </c>
      <c r="D225" s="17">
        <v>0.11753959501604412</v>
      </c>
      <c r="E225" t="s">
        <v>131</v>
      </c>
      <c r="F225" t="s">
        <v>134</v>
      </c>
    </row>
    <row r="226" spans="1:6" outlineLevel="1" x14ac:dyDescent="0.25">
      <c r="A226" t="s">
        <v>84</v>
      </c>
      <c r="B226">
        <v>1411</v>
      </c>
      <c r="C226" s="17">
        <v>1</v>
      </c>
      <c r="D226" s="17">
        <v>0.13827054593476706</v>
      </c>
      <c r="E226" t="s">
        <v>131</v>
      </c>
      <c r="F226" t="s">
        <v>134</v>
      </c>
    </row>
    <row r="227" spans="1:6" outlineLevel="1" x14ac:dyDescent="0.25">
      <c r="A227" t="s">
        <v>84</v>
      </c>
      <c r="B227">
        <v>1411</v>
      </c>
      <c r="C227" s="17">
        <v>1.2</v>
      </c>
      <c r="D227" s="17">
        <v>0.15900149685349002</v>
      </c>
      <c r="E227" t="s">
        <v>131</v>
      </c>
      <c r="F227" t="s">
        <v>134</v>
      </c>
    </row>
    <row r="228" spans="1:6" outlineLevel="1" x14ac:dyDescent="0.25">
      <c r="A228" t="s">
        <v>84</v>
      </c>
      <c r="B228">
        <v>1411</v>
      </c>
      <c r="C228" s="17">
        <v>1.4</v>
      </c>
      <c r="D228" s="17">
        <v>0.20561172578858708</v>
      </c>
      <c r="E228" t="s">
        <v>131</v>
      </c>
      <c r="F228" t="s">
        <v>134</v>
      </c>
    </row>
    <row r="229" spans="1:6" outlineLevel="1" x14ac:dyDescent="0.25">
      <c r="A229" t="s">
        <v>84</v>
      </c>
      <c r="B229">
        <v>1411</v>
      </c>
      <c r="C229" s="17">
        <v>1.5999999999999999</v>
      </c>
      <c r="D229" s="17">
        <v>0.22634267670731004</v>
      </c>
      <c r="E229" t="s">
        <v>131</v>
      </c>
      <c r="F229" t="s">
        <v>134</v>
      </c>
    </row>
    <row r="230" spans="1:6" outlineLevel="1" x14ac:dyDescent="0.25">
      <c r="A230" t="s">
        <v>84</v>
      </c>
      <c r="B230">
        <v>1411</v>
      </c>
      <c r="C230" s="17">
        <v>1.7999999999999998</v>
      </c>
      <c r="D230" s="17">
        <v>0.24707362762603302</v>
      </c>
      <c r="E230" t="s">
        <v>131</v>
      </c>
      <c r="F230" t="s">
        <v>134</v>
      </c>
    </row>
    <row r="231" spans="1:6" outlineLevel="1" x14ac:dyDescent="0.25">
      <c r="A231" t="s">
        <v>84</v>
      </c>
      <c r="B231">
        <v>1411</v>
      </c>
      <c r="C231" s="17">
        <v>1.9999999999999998</v>
      </c>
      <c r="D231" s="17">
        <v>0.26780457854475592</v>
      </c>
      <c r="E231" t="s">
        <v>131</v>
      </c>
      <c r="F231" t="s">
        <v>134</v>
      </c>
    </row>
    <row r="232" spans="1:6" outlineLevel="1" x14ac:dyDescent="0.25">
      <c r="A232" t="s">
        <v>84</v>
      </c>
      <c r="B232">
        <v>1411</v>
      </c>
      <c r="C232" s="17">
        <v>2.1999999999999997</v>
      </c>
      <c r="D232" s="17">
        <v>0.28853552946347888</v>
      </c>
      <c r="E232" t="s">
        <v>131</v>
      </c>
      <c r="F232" t="s">
        <v>134</v>
      </c>
    </row>
    <row r="233" spans="1:6" outlineLevel="1" x14ac:dyDescent="0.25">
      <c r="A233" t="s">
        <v>84</v>
      </c>
      <c r="B233">
        <v>1411</v>
      </c>
      <c r="C233" s="17">
        <v>2.4</v>
      </c>
      <c r="D233" s="17">
        <v>0.31812168281831055</v>
      </c>
      <c r="E233" t="s">
        <v>131</v>
      </c>
      <c r="F233" t="s">
        <v>134</v>
      </c>
    </row>
    <row r="234" spans="1:6" outlineLevel="1" x14ac:dyDescent="0.25">
      <c r="A234" t="s">
        <v>84</v>
      </c>
      <c r="B234">
        <v>1411</v>
      </c>
      <c r="C234" s="17">
        <v>2.6</v>
      </c>
      <c r="D234" s="17">
        <v>0.35556337478617528</v>
      </c>
      <c r="E234" t="s">
        <v>131</v>
      </c>
      <c r="F234" t="s">
        <v>134</v>
      </c>
    </row>
    <row r="235" spans="1:6" outlineLevel="1" x14ac:dyDescent="0.25">
      <c r="A235" t="s">
        <v>84</v>
      </c>
      <c r="B235">
        <v>1411</v>
      </c>
      <c r="C235" s="17">
        <v>2.8000000000000003</v>
      </c>
      <c r="D235" s="17">
        <v>0.35556337478617528</v>
      </c>
      <c r="E235" t="s">
        <v>131</v>
      </c>
      <c r="F235" t="s">
        <v>134</v>
      </c>
    </row>
    <row r="236" spans="1:6" outlineLevel="1" x14ac:dyDescent="0.25">
      <c r="A236" t="s">
        <v>84</v>
      </c>
      <c r="B236">
        <v>1411</v>
      </c>
      <c r="C236" s="17">
        <v>3.0000000000000004</v>
      </c>
      <c r="D236" s="17">
        <v>0.35556337478617528</v>
      </c>
      <c r="E236" t="s">
        <v>131</v>
      </c>
      <c r="F236" t="s">
        <v>134</v>
      </c>
    </row>
    <row r="237" spans="1:6" outlineLevel="1" x14ac:dyDescent="0.25">
      <c r="A237" t="s">
        <v>84</v>
      </c>
      <c r="B237">
        <v>1411</v>
      </c>
      <c r="C237" s="17">
        <v>3.2000000000000006</v>
      </c>
      <c r="D237" s="17">
        <v>0.35556337478617528</v>
      </c>
      <c r="E237" t="s">
        <v>131</v>
      </c>
      <c r="F237" t="s">
        <v>134</v>
      </c>
    </row>
    <row r="238" spans="1:6" outlineLevel="1" x14ac:dyDescent="0.25">
      <c r="A238" t="s">
        <v>84</v>
      </c>
      <c r="B238">
        <v>1411</v>
      </c>
      <c r="C238" s="17">
        <v>3.4000000000000008</v>
      </c>
      <c r="D238" s="17">
        <v>0.35556337478617528</v>
      </c>
      <c r="E238" t="s">
        <v>131</v>
      </c>
      <c r="F238" t="s">
        <v>134</v>
      </c>
    </row>
    <row r="239" spans="1:6" outlineLevel="1" x14ac:dyDescent="0.25">
      <c r="A239" t="s">
        <v>84</v>
      </c>
      <c r="B239">
        <v>1411</v>
      </c>
      <c r="C239" s="17">
        <v>3.600000000000001</v>
      </c>
      <c r="D239" s="17">
        <v>0.35556337478617528</v>
      </c>
      <c r="E239" t="s">
        <v>131</v>
      </c>
      <c r="F239" t="s">
        <v>134</v>
      </c>
    </row>
    <row r="240" spans="1:6" outlineLevel="1" x14ac:dyDescent="0.25">
      <c r="A240" t="s">
        <v>84</v>
      </c>
      <c r="B240">
        <v>1411</v>
      </c>
      <c r="C240" s="17">
        <v>3.8000000000000012</v>
      </c>
      <c r="D240" s="17">
        <v>0.35556337478617528</v>
      </c>
      <c r="E240" t="s">
        <v>131</v>
      </c>
      <c r="F240" t="s">
        <v>134</v>
      </c>
    </row>
    <row r="241" spans="1:6" outlineLevel="1" x14ac:dyDescent="0.25">
      <c r="A241" t="s">
        <v>84</v>
      </c>
      <c r="B241">
        <v>1411</v>
      </c>
      <c r="C241" s="17">
        <v>4.0000000000000009</v>
      </c>
      <c r="D241" s="17">
        <v>0.35556337478617528</v>
      </c>
      <c r="E241" t="s">
        <v>131</v>
      </c>
      <c r="F241" t="s">
        <v>134</v>
      </c>
    </row>
    <row r="242" spans="1:6" ht="14.25" customHeight="1" outlineLevel="1" x14ac:dyDescent="0.25">
      <c r="A242" t="s">
        <v>85</v>
      </c>
      <c r="B242">
        <v>1412</v>
      </c>
      <c r="C242" s="17">
        <v>0</v>
      </c>
      <c r="D242" s="17">
        <v>0</v>
      </c>
      <c r="E242" t="s">
        <v>131</v>
      </c>
      <c r="F242" t="s">
        <v>134</v>
      </c>
    </row>
    <row r="243" spans="1:6" outlineLevel="1" x14ac:dyDescent="0.25">
      <c r="A243" t="s">
        <v>85</v>
      </c>
      <c r="B243">
        <v>1412</v>
      </c>
      <c r="C243" s="17">
        <v>0.2</v>
      </c>
      <c r="D243" s="17">
        <v>9.0442363739137804E-2</v>
      </c>
      <c r="E243" t="s">
        <v>131</v>
      </c>
      <c r="F243" t="s">
        <v>134</v>
      </c>
    </row>
    <row r="244" spans="1:6" outlineLevel="1" x14ac:dyDescent="0.25">
      <c r="A244" t="s">
        <v>85</v>
      </c>
      <c r="B244">
        <v>1412</v>
      </c>
      <c r="C244" s="17">
        <v>0.4</v>
      </c>
      <c r="D244" s="17">
        <v>0.15986408588971696</v>
      </c>
      <c r="E244" t="s">
        <v>131</v>
      </c>
      <c r="F244" t="s">
        <v>134</v>
      </c>
    </row>
    <row r="245" spans="1:6" outlineLevel="1" x14ac:dyDescent="0.25">
      <c r="A245" t="s">
        <v>85</v>
      </c>
      <c r="B245">
        <v>1412</v>
      </c>
      <c r="C245" s="17">
        <v>0.60000000000000009</v>
      </c>
      <c r="D245" s="17">
        <v>0.19775484565745816</v>
      </c>
      <c r="E245" t="s">
        <v>131</v>
      </c>
      <c r="F245" t="s">
        <v>134</v>
      </c>
    </row>
    <row r="246" spans="1:6" outlineLevel="1" x14ac:dyDescent="0.25">
      <c r="A246" t="s">
        <v>85</v>
      </c>
      <c r="B246">
        <v>1412</v>
      </c>
      <c r="C246" s="17">
        <v>0.8</v>
      </c>
      <c r="D246" s="17">
        <v>0.24615592621947865</v>
      </c>
      <c r="E246" t="s">
        <v>131</v>
      </c>
      <c r="F246" t="s">
        <v>134</v>
      </c>
    </row>
    <row r="247" spans="1:6" outlineLevel="1" x14ac:dyDescent="0.25">
      <c r="A247" t="s">
        <v>85</v>
      </c>
      <c r="B247">
        <v>1412</v>
      </c>
      <c r="C247" s="17">
        <v>1</v>
      </c>
      <c r="D247" s="17">
        <v>0.26477776453104113</v>
      </c>
      <c r="E247" t="s">
        <v>131</v>
      </c>
      <c r="F247" t="s">
        <v>134</v>
      </c>
    </row>
    <row r="248" spans="1:6" outlineLevel="1" x14ac:dyDescent="0.25">
      <c r="A248" t="s">
        <v>85</v>
      </c>
      <c r="B248">
        <v>1412</v>
      </c>
      <c r="C248" s="17">
        <v>1.2</v>
      </c>
      <c r="D248" s="17">
        <v>0.28339960284260357</v>
      </c>
      <c r="E248" t="s">
        <v>131</v>
      </c>
      <c r="F248" t="s">
        <v>134</v>
      </c>
    </row>
    <row r="249" spans="1:6" outlineLevel="1" x14ac:dyDescent="0.25">
      <c r="A249" t="s">
        <v>85</v>
      </c>
      <c r="B249">
        <v>1412</v>
      </c>
      <c r="C249" s="17">
        <v>1.4</v>
      </c>
      <c r="D249" s="17">
        <v>0.32349807397257307</v>
      </c>
      <c r="E249" t="s">
        <v>131</v>
      </c>
      <c r="F249" t="s">
        <v>134</v>
      </c>
    </row>
    <row r="250" spans="1:6" outlineLevel="1" x14ac:dyDescent="0.25">
      <c r="A250" t="s">
        <v>85</v>
      </c>
      <c r="B250">
        <v>1412</v>
      </c>
      <c r="C250" s="17">
        <v>1.5999999999999999</v>
      </c>
      <c r="D250" s="17">
        <v>0.34211991228413552</v>
      </c>
      <c r="E250" t="s">
        <v>131</v>
      </c>
      <c r="F250" t="s">
        <v>134</v>
      </c>
    </row>
    <row r="251" spans="1:6" outlineLevel="1" x14ac:dyDescent="0.25">
      <c r="A251" t="s">
        <v>85</v>
      </c>
      <c r="B251">
        <v>1412</v>
      </c>
      <c r="C251" s="17">
        <v>1.7999999999999998</v>
      </c>
      <c r="D251" s="17">
        <v>0.36074175059569796</v>
      </c>
      <c r="E251" t="s">
        <v>131</v>
      </c>
      <c r="F251" t="s">
        <v>134</v>
      </c>
    </row>
    <row r="252" spans="1:6" outlineLevel="1" x14ac:dyDescent="0.25">
      <c r="A252" t="s">
        <v>85</v>
      </c>
      <c r="B252">
        <v>1412</v>
      </c>
      <c r="C252" s="17">
        <v>1.9999999999999998</v>
      </c>
      <c r="D252" s="17">
        <v>0.3793635889072603</v>
      </c>
      <c r="E252" t="s">
        <v>131</v>
      </c>
      <c r="F252" t="s">
        <v>134</v>
      </c>
    </row>
    <row r="253" spans="1:6" outlineLevel="1" x14ac:dyDescent="0.25">
      <c r="A253" t="s">
        <v>85</v>
      </c>
      <c r="B253">
        <v>1412</v>
      </c>
      <c r="C253" s="17">
        <v>2.1999999999999997</v>
      </c>
      <c r="D253" s="17">
        <v>0.39798542721882285</v>
      </c>
      <c r="E253" t="s">
        <v>131</v>
      </c>
      <c r="F253" t="s">
        <v>134</v>
      </c>
    </row>
    <row r="254" spans="1:6" outlineLevel="1" x14ac:dyDescent="0.25">
      <c r="A254" t="s">
        <v>85</v>
      </c>
      <c r="B254">
        <v>1412</v>
      </c>
      <c r="C254" s="17">
        <v>2.4</v>
      </c>
      <c r="D254" s="17">
        <v>0.43412446685418404</v>
      </c>
      <c r="E254" t="s">
        <v>131</v>
      </c>
      <c r="F254" t="s">
        <v>134</v>
      </c>
    </row>
    <row r="255" spans="1:6" outlineLevel="1" x14ac:dyDescent="0.25">
      <c r="A255" t="s">
        <v>85</v>
      </c>
      <c r="B255">
        <v>1412</v>
      </c>
      <c r="C255" s="17">
        <v>2.6</v>
      </c>
      <c r="D255" s="17">
        <v>0.46519648787366369</v>
      </c>
      <c r="E255" t="s">
        <v>131</v>
      </c>
      <c r="F255" t="s">
        <v>134</v>
      </c>
    </row>
    <row r="256" spans="1:6" outlineLevel="1" x14ac:dyDescent="0.25">
      <c r="A256" t="s">
        <v>85</v>
      </c>
      <c r="B256">
        <v>1412</v>
      </c>
      <c r="C256" s="17">
        <v>2.8000000000000003</v>
      </c>
      <c r="D256" s="17">
        <v>0.46519648787366369</v>
      </c>
      <c r="E256" t="s">
        <v>131</v>
      </c>
      <c r="F256" t="s">
        <v>134</v>
      </c>
    </row>
    <row r="257" spans="1:6" outlineLevel="1" x14ac:dyDescent="0.25">
      <c r="A257" t="s">
        <v>85</v>
      </c>
      <c r="B257">
        <v>1412</v>
      </c>
      <c r="C257" s="17">
        <v>3.0000000000000004</v>
      </c>
      <c r="D257" s="17">
        <v>0.46519648787366369</v>
      </c>
      <c r="E257" t="s">
        <v>131</v>
      </c>
      <c r="F257" t="s">
        <v>134</v>
      </c>
    </row>
    <row r="258" spans="1:6" outlineLevel="1" x14ac:dyDescent="0.25">
      <c r="A258" t="s">
        <v>85</v>
      </c>
      <c r="B258">
        <v>1412</v>
      </c>
      <c r="C258" s="17">
        <v>3.2000000000000006</v>
      </c>
      <c r="D258" s="17">
        <v>0.46519648787366369</v>
      </c>
      <c r="E258" t="s">
        <v>131</v>
      </c>
      <c r="F258" t="s">
        <v>134</v>
      </c>
    </row>
    <row r="259" spans="1:6" outlineLevel="1" x14ac:dyDescent="0.25">
      <c r="A259" t="s">
        <v>85</v>
      </c>
      <c r="B259">
        <v>1412</v>
      </c>
      <c r="C259" s="17">
        <v>3.4000000000000008</v>
      </c>
      <c r="D259" s="17">
        <v>0.46519648787366369</v>
      </c>
      <c r="E259" t="s">
        <v>131</v>
      </c>
      <c r="F259" t="s">
        <v>134</v>
      </c>
    </row>
    <row r="260" spans="1:6" outlineLevel="1" x14ac:dyDescent="0.25">
      <c r="A260" t="s">
        <v>85</v>
      </c>
      <c r="B260">
        <v>1412</v>
      </c>
      <c r="C260" s="17">
        <v>3.600000000000001</v>
      </c>
      <c r="D260" s="17">
        <v>0.46519648787366369</v>
      </c>
      <c r="E260" t="s">
        <v>131</v>
      </c>
      <c r="F260" t="s">
        <v>134</v>
      </c>
    </row>
    <row r="261" spans="1:6" outlineLevel="1" x14ac:dyDescent="0.25">
      <c r="A261" t="s">
        <v>85</v>
      </c>
      <c r="B261">
        <v>1412</v>
      </c>
      <c r="C261" s="17">
        <v>3.8000000000000012</v>
      </c>
      <c r="D261" s="17">
        <v>0.46519648787366369</v>
      </c>
      <c r="E261" t="s">
        <v>131</v>
      </c>
      <c r="F261" t="s">
        <v>134</v>
      </c>
    </row>
    <row r="262" spans="1:6" outlineLevel="1" x14ac:dyDescent="0.25">
      <c r="A262" t="s">
        <v>85</v>
      </c>
      <c r="B262">
        <v>1412</v>
      </c>
      <c r="C262" s="17">
        <v>4.0000000000000009</v>
      </c>
      <c r="D262" s="17">
        <v>0.46519648787366369</v>
      </c>
      <c r="E262" t="s">
        <v>131</v>
      </c>
      <c r="F262" t="s">
        <v>134</v>
      </c>
    </row>
    <row r="263" spans="1:6" ht="14.25" customHeight="1" outlineLevel="1" x14ac:dyDescent="0.25">
      <c r="A263" t="s">
        <v>86</v>
      </c>
      <c r="B263">
        <v>1413</v>
      </c>
      <c r="C263" s="17">
        <v>0</v>
      </c>
      <c r="D263" s="17">
        <v>0</v>
      </c>
      <c r="E263" t="s">
        <v>131</v>
      </c>
      <c r="F263" t="s">
        <v>134</v>
      </c>
    </row>
    <row r="264" spans="1:6" outlineLevel="1" x14ac:dyDescent="0.25">
      <c r="A264" t="s">
        <v>86</v>
      </c>
      <c r="B264">
        <v>1413</v>
      </c>
      <c r="C264" s="17">
        <v>0.2</v>
      </c>
      <c r="D264" s="17">
        <v>7.3662705036376619E-2</v>
      </c>
      <c r="E264" t="s">
        <v>131</v>
      </c>
      <c r="F264" t="s">
        <v>134</v>
      </c>
    </row>
    <row r="265" spans="1:6" outlineLevel="1" x14ac:dyDescent="0.25">
      <c r="A265" t="s">
        <v>86</v>
      </c>
      <c r="B265">
        <v>1413</v>
      </c>
      <c r="C265" s="17">
        <v>0.4</v>
      </c>
      <c r="D265" s="17">
        <v>0.14732541007275324</v>
      </c>
      <c r="E265" t="s">
        <v>131</v>
      </c>
      <c r="F265" t="s">
        <v>134</v>
      </c>
    </row>
    <row r="266" spans="1:6" outlineLevel="1" x14ac:dyDescent="0.25">
      <c r="A266" t="s">
        <v>86</v>
      </c>
      <c r="B266">
        <v>1413</v>
      </c>
      <c r="C266" s="17">
        <v>0.60000000000000009</v>
      </c>
      <c r="D266" s="17">
        <v>0.18667484044036878</v>
      </c>
      <c r="E266" t="s">
        <v>131</v>
      </c>
      <c r="F266" t="s">
        <v>134</v>
      </c>
    </row>
    <row r="267" spans="1:6" outlineLevel="1" x14ac:dyDescent="0.25">
      <c r="A267" t="s">
        <v>86</v>
      </c>
      <c r="B267">
        <v>1413</v>
      </c>
      <c r="C267" s="17">
        <v>0.8</v>
      </c>
      <c r="D267" s="17">
        <v>0.23746202903090469</v>
      </c>
      <c r="E267" t="s">
        <v>131</v>
      </c>
      <c r="F267" t="s">
        <v>134</v>
      </c>
    </row>
    <row r="268" spans="1:6" outlineLevel="1" x14ac:dyDescent="0.25">
      <c r="A268" t="s">
        <v>86</v>
      </c>
      <c r="B268">
        <v>1413</v>
      </c>
      <c r="C268" s="17">
        <v>1</v>
      </c>
      <c r="D268" s="17">
        <v>0.25584223598983291</v>
      </c>
      <c r="E268" t="s">
        <v>131</v>
      </c>
      <c r="F268" t="s">
        <v>134</v>
      </c>
    </row>
    <row r="269" spans="1:6" outlineLevel="1" x14ac:dyDescent="0.25">
      <c r="A269" t="s">
        <v>86</v>
      </c>
      <c r="B269">
        <v>1413</v>
      </c>
      <c r="C269" s="17">
        <v>1.2</v>
      </c>
      <c r="D269" s="17">
        <v>0.27422244294876119</v>
      </c>
      <c r="E269" t="s">
        <v>131</v>
      </c>
      <c r="F269" t="s">
        <v>134</v>
      </c>
    </row>
    <row r="270" spans="1:6" outlineLevel="1" x14ac:dyDescent="0.25">
      <c r="A270" t="s">
        <v>86</v>
      </c>
      <c r="B270">
        <v>1413</v>
      </c>
      <c r="C270" s="17">
        <v>1.4</v>
      </c>
      <c r="D270" s="17">
        <v>0.31357489186960952</v>
      </c>
      <c r="E270" t="s">
        <v>131</v>
      </c>
      <c r="F270" t="s">
        <v>134</v>
      </c>
    </row>
    <row r="271" spans="1:6" outlineLevel="1" x14ac:dyDescent="0.25">
      <c r="A271" t="s">
        <v>86</v>
      </c>
      <c r="B271">
        <v>1413</v>
      </c>
      <c r="C271" s="17">
        <v>1.5999999999999999</v>
      </c>
      <c r="D271" s="17">
        <v>0.33195509882853769</v>
      </c>
      <c r="E271" t="s">
        <v>131</v>
      </c>
      <c r="F271" t="s">
        <v>134</v>
      </c>
    </row>
    <row r="272" spans="1:6" outlineLevel="1" x14ac:dyDescent="0.25">
      <c r="A272" t="s">
        <v>86</v>
      </c>
      <c r="B272">
        <v>1413</v>
      </c>
      <c r="C272" s="17">
        <v>1.7999999999999998</v>
      </c>
      <c r="D272" s="17">
        <v>0.35033530578746591</v>
      </c>
      <c r="E272" t="s">
        <v>131</v>
      </c>
      <c r="F272" t="s">
        <v>134</v>
      </c>
    </row>
    <row r="273" spans="1:6" outlineLevel="1" x14ac:dyDescent="0.25">
      <c r="A273" t="s">
        <v>86</v>
      </c>
      <c r="B273">
        <v>1413</v>
      </c>
      <c r="C273" s="17">
        <v>1.9999999999999998</v>
      </c>
      <c r="D273" s="17">
        <v>0.36871551274639414</v>
      </c>
      <c r="E273" t="s">
        <v>131</v>
      </c>
      <c r="F273" t="s">
        <v>134</v>
      </c>
    </row>
    <row r="274" spans="1:6" outlineLevel="1" x14ac:dyDescent="0.25">
      <c r="A274" t="s">
        <v>86</v>
      </c>
      <c r="B274">
        <v>1413</v>
      </c>
      <c r="C274" s="17">
        <v>2.1999999999999997</v>
      </c>
      <c r="D274" s="17">
        <v>0.38709571970532231</v>
      </c>
      <c r="E274" t="s">
        <v>131</v>
      </c>
      <c r="F274" t="s">
        <v>134</v>
      </c>
    </row>
    <row r="275" spans="1:6" outlineLevel="1" x14ac:dyDescent="0.25">
      <c r="A275" t="s">
        <v>86</v>
      </c>
      <c r="B275">
        <v>1413</v>
      </c>
      <c r="C275" s="17">
        <v>2.4</v>
      </c>
      <c r="D275" s="17">
        <v>0.44741437348162527</v>
      </c>
      <c r="E275" t="s">
        <v>131</v>
      </c>
      <c r="F275" t="s">
        <v>134</v>
      </c>
    </row>
    <row r="276" spans="1:6" outlineLevel="1" x14ac:dyDescent="0.25">
      <c r="A276" t="s">
        <v>86</v>
      </c>
      <c r="B276">
        <v>1413</v>
      </c>
      <c r="C276" s="17">
        <v>2.6</v>
      </c>
      <c r="D276" s="17">
        <v>0.4777566505311206</v>
      </c>
      <c r="E276" t="s">
        <v>131</v>
      </c>
      <c r="F276" t="s">
        <v>134</v>
      </c>
    </row>
    <row r="277" spans="1:6" outlineLevel="1" x14ac:dyDescent="0.25">
      <c r="A277" t="s">
        <v>86</v>
      </c>
      <c r="B277">
        <v>1413</v>
      </c>
      <c r="C277" s="17">
        <v>2.8000000000000003</v>
      </c>
      <c r="D277" s="17">
        <v>0.4777566505311206</v>
      </c>
      <c r="E277" t="s">
        <v>131</v>
      </c>
      <c r="F277" t="s">
        <v>134</v>
      </c>
    </row>
    <row r="278" spans="1:6" outlineLevel="1" x14ac:dyDescent="0.25">
      <c r="A278" t="s">
        <v>86</v>
      </c>
      <c r="B278">
        <v>1413</v>
      </c>
      <c r="C278" s="17">
        <v>3.0000000000000004</v>
      </c>
      <c r="D278" s="17">
        <v>0.4777566505311206</v>
      </c>
      <c r="E278" t="s">
        <v>131</v>
      </c>
      <c r="F278" t="s">
        <v>134</v>
      </c>
    </row>
    <row r="279" spans="1:6" outlineLevel="1" x14ac:dyDescent="0.25">
      <c r="A279" t="s">
        <v>86</v>
      </c>
      <c r="B279">
        <v>1413</v>
      </c>
      <c r="C279" s="17">
        <v>3.2000000000000006</v>
      </c>
      <c r="D279" s="17">
        <v>0.4777566505311206</v>
      </c>
      <c r="E279" t="s">
        <v>131</v>
      </c>
      <c r="F279" t="s">
        <v>134</v>
      </c>
    </row>
    <row r="280" spans="1:6" outlineLevel="1" x14ac:dyDescent="0.25">
      <c r="A280" t="s">
        <v>86</v>
      </c>
      <c r="B280">
        <v>1413</v>
      </c>
      <c r="C280" s="17">
        <v>3.4000000000000008</v>
      </c>
      <c r="D280" s="17">
        <v>0.4777566505311206</v>
      </c>
      <c r="E280" t="s">
        <v>131</v>
      </c>
      <c r="F280" t="s">
        <v>134</v>
      </c>
    </row>
    <row r="281" spans="1:6" outlineLevel="1" x14ac:dyDescent="0.25">
      <c r="A281" t="s">
        <v>86</v>
      </c>
      <c r="B281">
        <v>1413</v>
      </c>
      <c r="C281" s="17">
        <v>3.600000000000001</v>
      </c>
      <c r="D281" s="17">
        <v>0.4777566505311206</v>
      </c>
      <c r="E281" t="s">
        <v>131</v>
      </c>
      <c r="F281" t="s">
        <v>134</v>
      </c>
    </row>
    <row r="282" spans="1:6" outlineLevel="1" x14ac:dyDescent="0.25">
      <c r="A282" t="s">
        <v>86</v>
      </c>
      <c r="B282">
        <v>1413</v>
      </c>
      <c r="C282" s="17">
        <v>3.8000000000000012</v>
      </c>
      <c r="D282" s="17">
        <v>0.4777566505311206</v>
      </c>
      <c r="E282" t="s">
        <v>131</v>
      </c>
      <c r="F282" t="s">
        <v>134</v>
      </c>
    </row>
    <row r="283" spans="1:6" outlineLevel="1" x14ac:dyDescent="0.25">
      <c r="A283" t="s">
        <v>86</v>
      </c>
      <c r="B283">
        <v>1413</v>
      </c>
      <c r="C283" s="17">
        <v>4.0000000000000009</v>
      </c>
      <c r="D283" s="17">
        <v>0.4777566505311206</v>
      </c>
      <c r="E283" t="s">
        <v>131</v>
      </c>
      <c r="F283" t="s">
        <v>134</v>
      </c>
    </row>
    <row r="284" spans="1:6" ht="14.25" customHeight="1" outlineLevel="1" x14ac:dyDescent="0.25">
      <c r="A284" t="s">
        <v>87</v>
      </c>
      <c r="B284">
        <v>1414</v>
      </c>
      <c r="C284" s="17">
        <v>0</v>
      </c>
      <c r="D284" s="17">
        <v>0</v>
      </c>
      <c r="E284" t="s">
        <v>131</v>
      </c>
      <c r="F284" t="s">
        <v>134</v>
      </c>
    </row>
    <row r="285" spans="1:6" outlineLevel="1" x14ac:dyDescent="0.25">
      <c r="A285" t="s">
        <v>87</v>
      </c>
      <c r="B285">
        <v>1414</v>
      </c>
      <c r="C285" s="17">
        <v>0.2</v>
      </c>
      <c r="D285" s="17">
        <v>0.31157876002894069</v>
      </c>
      <c r="E285" t="s">
        <v>131</v>
      </c>
      <c r="F285" t="s">
        <v>134</v>
      </c>
    </row>
    <row r="286" spans="1:6" outlineLevel="1" x14ac:dyDescent="0.25">
      <c r="A286" t="s">
        <v>87</v>
      </c>
      <c r="B286">
        <v>1414</v>
      </c>
      <c r="C286" s="17">
        <v>0.4</v>
      </c>
      <c r="D286" s="17">
        <v>0.50818602110944189</v>
      </c>
      <c r="E286" t="s">
        <v>131</v>
      </c>
      <c r="F286" t="s">
        <v>134</v>
      </c>
    </row>
    <row r="287" spans="1:6" outlineLevel="1" x14ac:dyDescent="0.25">
      <c r="A287" t="s">
        <v>87</v>
      </c>
      <c r="B287">
        <v>1414</v>
      </c>
      <c r="C287" s="17">
        <v>0.60000000000000009</v>
      </c>
      <c r="D287" s="17">
        <v>0.58982178324150347</v>
      </c>
      <c r="E287" t="s">
        <v>131</v>
      </c>
      <c r="F287" t="s">
        <v>134</v>
      </c>
    </row>
    <row r="288" spans="1:6" outlineLevel="1" x14ac:dyDescent="0.25">
      <c r="A288" t="s">
        <v>87</v>
      </c>
      <c r="B288">
        <v>1414</v>
      </c>
      <c r="C288" s="17">
        <v>0.8</v>
      </c>
      <c r="D288" s="17">
        <v>0.70978137835637833</v>
      </c>
      <c r="E288" t="s">
        <v>131</v>
      </c>
      <c r="F288" t="s">
        <v>134</v>
      </c>
    </row>
    <row r="289" spans="1:6" outlineLevel="1" x14ac:dyDescent="0.25">
      <c r="A289" t="s">
        <v>87</v>
      </c>
      <c r="B289">
        <v>1414</v>
      </c>
      <c r="C289" s="17">
        <v>1</v>
      </c>
      <c r="D289" s="17">
        <v>0.72115678001994932</v>
      </c>
      <c r="E289" t="s">
        <v>131</v>
      </c>
      <c r="F289" t="s">
        <v>134</v>
      </c>
    </row>
    <row r="290" spans="1:6" outlineLevel="1" x14ac:dyDescent="0.25">
      <c r="A290" t="s">
        <v>87</v>
      </c>
      <c r="B290">
        <v>1414</v>
      </c>
      <c r="C290" s="17">
        <v>1.2</v>
      </c>
      <c r="D290" s="17">
        <v>0.73253218168352008</v>
      </c>
      <c r="E290" t="s">
        <v>131</v>
      </c>
      <c r="F290" t="s">
        <v>134</v>
      </c>
    </row>
    <row r="291" spans="1:6" outlineLevel="1" x14ac:dyDescent="0.25">
      <c r="A291" t="s">
        <v>87</v>
      </c>
      <c r="B291">
        <v>1414</v>
      </c>
      <c r="C291" s="17">
        <v>1.4</v>
      </c>
      <c r="D291" s="17">
        <v>0.75025771727570967</v>
      </c>
      <c r="E291" t="s">
        <v>131</v>
      </c>
      <c r="F291" t="s">
        <v>134</v>
      </c>
    </row>
    <row r="292" spans="1:6" outlineLevel="1" x14ac:dyDescent="0.25">
      <c r="A292" t="s">
        <v>87</v>
      </c>
      <c r="B292">
        <v>1414</v>
      </c>
      <c r="C292" s="17">
        <v>1.5999999999999999</v>
      </c>
      <c r="D292" s="17">
        <v>0.76163311893928054</v>
      </c>
      <c r="E292" t="s">
        <v>131</v>
      </c>
      <c r="F292" t="s">
        <v>134</v>
      </c>
    </row>
    <row r="293" spans="1:6" outlineLevel="1" x14ac:dyDescent="0.25">
      <c r="A293" t="s">
        <v>87</v>
      </c>
      <c r="B293">
        <v>1414</v>
      </c>
      <c r="C293" s="17">
        <v>1.7999999999999998</v>
      </c>
      <c r="D293" s="17">
        <v>0.77300852060285152</v>
      </c>
      <c r="E293" t="s">
        <v>131</v>
      </c>
      <c r="F293" t="s">
        <v>134</v>
      </c>
    </row>
    <row r="294" spans="1:6" outlineLevel="1" x14ac:dyDescent="0.25">
      <c r="A294" t="s">
        <v>87</v>
      </c>
      <c r="B294">
        <v>1414</v>
      </c>
      <c r="C294" s="17">
        <v>1.9999999999999998</v>
      </c>
      <c r="D294" s="17">
        <v>0.78438392226642217</v>
      </c>
      <c r="E294" t="s">
        <v>131</v>
      </c>
      <c r="F294" t="s">
        <v>134</v>
      </c>
    </row>
    <row r="295" spans="1:6" outlineLevel="1" x14ac:dyDescent="0.25">
      <c r="A295" t="s">
        <v>87</v>
      </c>
      <c r="B295">
        <v>1414</v>
      </c>
      <c r="C295" s="17">
        <v>2.1999999999999997</v>
      </c>
      <c r="D295" s="17">
        <v>0.79575932392999305</v>
      </c>
      <c r="E295" t="s">
        <v>131</v>
      </c>
      <c r="F295" t="s">
        <v>134</v>
      </c>
    </row>
    <row r="296" spans="1:6" outlineLevel="1" x14ac:dyDescent="0.25">
      <c r="A296" t="s">
        <v>87</v>
      </c>
      <c r="B296">
        <v>1414</v>
      </c>
      <c r="C296" s="17">
        <v>2.4</v>
      </c>
      <c r="D296" s="17">
        <v>0.83268394758210584</v>
      </c>
      <c r="E296" t="s">
        <v>131</v>
      </c>
      <c r="F296" t="s">
        <v>134</v>
      </c>
    </row>
    <row r="297" spans="1:6" outlineLevel="1" x14ac:dyDescent="0.25">
      <c r="A297" t="s">
        <v>87</v>
      </c>
      <c r="B297">
        <v>1414</v>
      </c>
      <c r="C297" s="17">
        <v>2.6</v>
      </c>
      <c r="D297" s="17">
        <v>0.84187121155290112</v>
      </c>
      <c r="E297" t="s">
        <v>131</v>
      </c>
      <c r="F297" t="s">
        <v>134</v>
      </c>
    </row>
    <row r="298" spans="1:6" outlineLevel="1" x14ac:dyDescent="0.25">
      <c r="A298" t="s">
        <v>87</v>
      </c>
      <c r="B298">
        <v>1414</v>
      </c>
      <c r="C298" s="17">
        <v>2.8000000000000003</v>
      </c>
      <c r="D298" s="17">
        <v>0.84187121155290112</v>
      </c>
      <c r="E298" t="s">
        <v>131</v>
      </c>
      <c r="F298" t="s">
        <v>134</v>
      </c>
    </row>
    <row r="299" spans="1:6" outlineLevel="1" x14ac:dyDescent="0.25">
      <c r="A299" t="s">
        <v>87</v>
      </c>
      <c r="B299">
        <v>1414</v>
      </c>
      <c r="C299" s="17">
        <v>3.0000000000000004</v>
      </c>
      <c r="D299" s="17">
        <v>0.84187121155290112</v>
      </c>
      <c r="E299" t="s">
        <v>131</v>
      </c>
      <c r="F299" t="s">
        <v>134</v>
      </c>
    </row>
    <row r="300" spans="1:6" outlineLevel="1" x14ac:dyDescent="0.25">
      <c r="A300" t="s">
        <v>87</v>
      </c>
      <c r="B300">
        <v>1414</v>
      </c>
      <c r="C300" s="17">
        <v>3.2000000000000006</v>
      </c>
      <c r="D300" s="17">
        <v>0.84187121155290112</v>
      </c>
      <c r="E300" t="s">
        <v>131</v>
      </c>
      <c r="F300" t="s">
        <v>134</v>
      </c>
    </row>
    <row r="301" spans="1:6" outlineLevel="1" x14ac:dyDescent="0.25">
      <c r="A301" t="s">
        <v>87</v>
      </c>
      <c r="B301">
        <v>1414</v>
      </c>
      <c r="C301" s="17">
        <v>3.4000000000000008</v>
      </c>
      <c r="D301" s="17">
        <v>0.84187121155290112</v>
      </c>
      <c r="E301" t="s">
        <v>131</v>
      </c>
      <c r="F301" t="s">
        <v>134</v>
      </c>
    </row>
    <row r="302" spans="1:6" outlineLevel="1" x14ac:dyDescent="0.25">
      <c r="A302" t="s">
        <v>87</v>
      </c>
      <c r="B302">
        <v>1414</v>
      </c>
      <c r="C302" s="17">
        <v>3.600000000000001</v>
      </c>
      <c r="D302" s="17">
        <v>0.84187121155290112</v>
      </c>
      <c r="E302" t="s">
        <v>131</v>
      </c>
      <c r="F302" t="s">
        <v>134</v>
      </c>
    </row>
    <row r="303" spans="1:6" outlineLevel="1" x14ac:dyDescent="0.25">
      <c r="A303" t="s">
        <v>87</v>
      </c>
      <c r="B303">
        <v>1414</v>
      </c>
      <c r="C303" s="17">
        <v>3.8000000000000012</v>
      </c>
      <c r="D303" s="17">
        <v>0.84187121155290112</v>
      </c>
      <c r="E303" t="s">
        <v>131</v>
      </c>
      <c r="F303" t="s">
        <v>134</v>
      </c>
    </row>
    <row r="304" spans="1:6" outlineLevel="1" x14ac:dyDescent="0.25">
      <c r="A304" t="s">
        <v>87</v>
      </c>
      <c r="B304">
        <v>1414</v>
      </c>
      <c r="C304" s="17">
        <v>4.0000000000000009</v>
      </c>
      <c r="D304" s="17">
        <v>0.84187121155290112</v>
      </c>
      <c r="E304" t="s">
        <v>131</v>
      </c>
      <c r="F304" t="s">
        <v>134</v>
      </c>
    </row>
    <row r="305" spans="1:6" ht="14.25" customHeight="1" outlineLevel="1" x14ac:dyDescent="0.25">
      <c r="A305" t="s">
        <v>88</v>
      </c>
      <c r="B305">
        <v>1415</v>
      </c>
      <c r="C305" s="17">
        <v>0</v>
      </c>
      <c r="D305" s="17">
        <v>0</v>
      </c>
      <c r="E305" t="s">
        <v>131</v>
      </c>
      <c r="F305" t="s">
        <v>134</v>
      </c>
    </row>
    <row r="306" spans="1:6" outlineLevel="1" x14ac:dyDescent="0.25">
      <c r="A306" t="s">
        <v>88</v>
      </c>
      <c r="B306">
        <v>1415</v>
      </c>
      <c r="C306" s="17">
        <v>0.2</v>
      </c>
      <c r="D306" s="17">
        <v>9.1872266782311238E-2</v>
      </c>
      <c r="E306" t="s">
        <v>131</v>
      </c>
      <c r="F306" t="s">
        <v>134</v>
      </c>
    </row>
    <row r="307" spans="1:6" outlineLevel="1" x14ac:dyDescent="0.25">
      <c r="A307" t="s">
        <v>88</v>
      </c>
      <c r="B307">
        <v>1415</v>
      </c>
      <c r="C307" s="17">
        <v>0.4</v>
      </c>
      <c r="D307" s="17">
        <v>0.18374453356462248</v>
      </c>
      <c r="E307" t="s">
        <v>131</v>
      </c>
      <c r="F307" t="s">
        <v>134</v>
      </c>
    </row>
    <row r="308" spans="1:6" outlineLevel="1" x14ac:dyDescent="0.25">
      <c r="A308" t="s">
        <v>88</v>
      </c>
      <c r="B308">
        <v>1415</v>
      </c>
      <c r="C308" s="17">
        <v>0.60000000000000009</v>
      </c>
      <c r="D308" s="17">
        <v>0.22935707629808691</v>
      </c>
      <c r="E308" t="s">
        <v>131</v>
      </c>
      <c r="F308" t="s">
        <v>134</v>
      </c>
    </row>
    <row r="309" spans="1:6" outlineLevel="1" x14ac:dyDescent="0.25">
      <c r="A309" t="s">
        <v>88</v>
      </c>
      <c r="B309">
        <v>1415</v>
      </c>
      <c r="C309" s="17">
        <v>0.8</v>
      </c>
      <c r="D309" s="17">
        <v>0.29038952704783361</v>
      </c>
      <c r="E309" t="s">
        <v>131</v>
      </c>
      <c r="F309" t="s">
        <v>134</v>
      </c>
    </row>
    <row r="310" spans="1:6" outlineLevel="1" x14ac:dyDescent="0.25">
      <c r="A310" t="s">
        <v>88</v>
      </c>
      <c r="B310">
        <v>1415</v>
      </c>
      <c r="C310" s="17">
        <v>1</v>
      </c>
      <c r="D310" s="17">
        <v>0.30773223841811387</v>
      </c>
      <c r="E310" t="s">
        <v>131</v>
      </c>
      <c r="F310" t="s">
        <v>134</v>
      </c>
    </row>
    <row r="311" spans="1:6" outlineLevel="1" x14ac:dyDescent="0.25">
      <c r="A311" t="s">
        <v>88</v>
      </c>
      <c r="B311">
        <v>1415</v>
      </c>
      <c r="C311" s="17">
        <v>1.2</v>
      </c>
      <c r="D311" s="17">
        <v>0.32507494978839419</v>
      </c>
      <c r="E311" t="s">
        <v>131</v>
      </c>
      <c r="F311" t="s">
        <v>134</v>
      </c>
    </row>
    <row r="312" spans="1:6" outlineLevel="1" x14ac:dyDescent="0.25">
      <c r="A312" t="s">
        <v>88</v>
      </c>
      <c r="B312">
        <v>1415</v>
      </c>
      <c r="C312" s="17">
        <v>1.4</v>
      </c>
      <c r="D312" s="17">
        <v>0.36122419373373432</v>
      </c>
      <c r="E312" t="s">
        <v>131</v>
      </c>
      <c r="F312" t="s">
        <v>134</v>
      </c>
    </row>
    <row r="313" spans="1:6" outlineLevel="1" x14ac:dyDescent="0.25">
      <c r="A313" t="s">
        <v>88</v>
      </c>
      <c r="B313">
        <v>1415</v>
      </c>
      <c r="C313" s="17">
        <v>1.5999999999999999</v>
      </c>
      <c r="D313" s="17">
        <v>0.37856690510401458</v>
      </c>
      <c r="E313" t="s">
        <v>131</v>
      </c>
      <c r="F313" t="s">
        <v>134</v>
      </c>
    </row>
    <row r="314" spans="1:6" outlineLevel="1" x14ac:dyDescent="0.25">
      <c r="A314" t="s">
        <v>88</v>
      </c>
      <c r="B314">
        <v>1415</v>
      </c>
      <c r="C314" s="17">
        <v>1.7999999999999998</v>
      </c>
      <c r="D314" s="17">
        <v>0.39590961647429485</v>
      </c>
      <c r="E314" t="s">
        <v>131</v>
      </c>
      <c r="F314" t="s">
        <v>134</v>
      </c>
    </row>
    <row r="315" spans="1:6" outlineLevel="1" x14ac:dyDescent="0.25">
      <c r="A315" t="s">
        <v>88</v>
      </c>
      <c r="B315">
        <v>1415</v>
      </c>
      <c r="C315" s="17">
        <v>1.9999999999999998</v>
      </c>
      <c r="D315" s="17">
        <v>0.41325232784457511</v>
      </c>
      <c r="E315" t="s">
        <v>131</v>
      </c>
      <c r="F315" t="s">
        <v>134</v>
      </c>
    </row>
    <row r="316" spans="1:6" outlineLevel="1" x14ac:dyDescent="0.25">
      <c r="A316" t="s">
        <v>88</v>
      </c>
      <c r="B316">
        <v>1415</v>
      </c>
      <c r="C316" s="17">
        <v>2.1999999999999997</v>
      </c>
      <c r="D316" s="17">
        <v>0.43059503921485542</v>
      </c>
      <c r="E316" t="s">
        <v>131</v>
      </c>
      <c r="F316" t="s">
        <v>134</v>
      </c>
    </row>
    <row r="317" spans="1:6" outlineLevel="1" x14ac:dyDescent="0.25">
      <c r="A317" t="s">
        <v>88</v>
      </c>
      <c r="B317">
        <v>1415</v>
      </c>
      <c r="C317" s="17">
        <v>2.4</v>
      </c>
      <c r="D317" s="17">
        <v>0.50447741331150397</v>
      </c>
      <c r="E317" t="s">
        <v>131</v>
      </c>
      <c r="F317" t="s">
        <v>134</v>
      </c>
    </row>
    <row r="318" spans="1:6" outlineLevel="1" x14ac:dyDescent="0.25">
      <c r="A318" t="s">
        <v>88</v>
      </c>
      <c r="B318">
        <v>1415</v>
      </c>
      <c r="C318" s="17">
        <v>2.6</v>
      </c>
      <c r="D318" s="17">
        <v>0.53168637946633568</v>
      </c>
      <c r="E318" t="s">
        <v>131</v>
      </c>
      <c r="F318" t="s">
        <v>134</v>
      </c>
    </row>
    <row r="319" spans="1:6" outlineLevel="1" x14ac:dyDescent="0.25">
      <c r="A319" t="s">
        <v>88</v>
      </c>
      <c r="B319">
        <v>1415</v>
      </c>
      <c r="C319" s="17">
        <v>2.8000000000000003</v>
      </c>
      <c r="D319" s="17">
        <v>0.53168637946633568</v>
      </c>
      <c r="E319" t="s">
        <v>131</v>
      </c>
      <c r="F319" t="s">
        <v>134</v>
      </c>
    </row>
    <row r="320" spans="1:6" outlineLevel="1" x14ac:dyDescent="0.25">
      <c r="A320" t="s">
        <v>88</v>
      </c>
      <c r="B320">
        <v>1415</v>
      </c>
      <c r="C320" s="17">
        <v>3.0000000000000004</v>
      </c>
      <c r="D320" s="17">
        <v>0.53168637946633568</v>
      </c>
      <c r="E320" t="s">
        <v>131</v>
      </c>
      <c r="F320" t="s">
        <v>134</v>
      </c>
    </row>
    <row r="321" spans="1:6" outlineLevel="1" x14ac:dyDescent="0.25">
      <c r="A321" t="s">
        <v>88</v>
      </c>
      <c r="B321">
        <v>1415</v>
      </c>
      <c r="C321" s="17">
        <v>3.2000000000000006</v>
      </c>
      <c r="D321" s="17">
        <v>0.53168637946633568</v>
      </c>
      <c r="E321" t="s">
        <v>131</v>
      </c>
      <c r="F321" t="s">
        <v>134</v>
      </c>
    </row>
    <row r="322" spans="1:6" outlineLevel="1" x14ac:dyDescent="0.25">
      <c r="A322" t="s">
        <v>88</v>
      </c>
      <c r="B322">
        <v>1415</v>
      </c>
      <c r="C322" s="17">
        <v>3.4000000000000008</v>
      </c>
      <c r="D322" s="17">
        <v>0.53168637946633568</v>
      </c>
      <c r="E322" t="s">
        <v>131</v>
      </c>
      <c r="F322" t="s">
        <v>134</v>
      </c>
    </row>
    <row r="323" spans="1:6" outlineLevel="1" x14ac:dyDescent="0.25">
      <c r="A323" t="s">
        <v>88</v>
      </c>
      <c r="B323">
        <v>1415</v>
      </c>
      <c r="C323" s="17">
        <v>3.600000000000001</v>
      </c>
      <c r="D323" s="17">
        <v>0.53168637946633568</v>
      </c>
      <c r="E323" t="s">
        <v>131</v>
      </c>
      <c r="F323" t="s">
        <v>134</v>
      </c>
    </row>
    <row r="324" spans="1:6" outlineLevel="1" x14ac:dyDescent="0.25">
      <c r="A324" t="s">
        <v>88</v>
      </c>
      <c r="B324">
        <v>1415</v>
      </c>
      <c r="C324" s="17">
        <v>3.8000000000000012</v>
      </c>
      <c r="D324" s="17">
        <v>0.53168637946633568</v>
      </c>
      <c r="E324" t="s">
        <v>131</v>
      </c>
      <c r="F324" t="s">
        <v>134</v>
      </c>
    </row>
    <row r="325" spans="1:6" outlineLevel="1" x14ac:dyDescent="0.25">
      <c r="A325" t="s">
        <v>88</v>
      </c>
      <c r="B325">
        <v>1415</v>
      </c>
      <c r="C325" s="17">
        <v>4.0000000000000009</v>
      </c>
      <c r="D325" s="17">
        <v>0.53168637946633568</v>
      </c>
      <c r="E325" t="s">
        <v>131</v>
      </c>
      <c r="F325" t="s">
        <v>134</v>
      </c>
    </row>
    <row r="326" spans="1:6" ht="14.25" customHeight="1" outlineLevel="1" x14ac:dyDescent="0.25">
      <c r="A326" t="s">
        <v>89</v>
      </c>
      <c r="B326">
        <v>1420</v>
      </c>
      <c r="C326" s="17">
        <v>0</v>
      </c>
      <c r="D326" s="17">
        <v>0</v>
      </c>
      <c r="E326" t="s">
        <v>131</v>
      </c>
      <c r="F326" t="s">
        <v>134</v>
      </c>
    </row>
    <row r="327" spans="1:6" outlineLevel="1" x14ac:dyDescent="0.25">
      <c r="A327" t="s">
        <v>89</v>
      </c>
      <c r="B327">
        <v>1420</v>
      </c>
      <c r="C327" s="17">
        <v>0.2</v>
      </c>
      <c r="D327" s="17">
        <v>2.3354550879486232E-2</v>
      </c>
      <c r="E327" t="s">
        <v>131</v>
      </c>
      <c r="F327" t="s">
        <v>134</v>
      </c>
    </row>
    <row r="328" spans="1:6" outlineLevel="1" x14ac:dyDescent="0.25">
      <c r="A328" t="s">
        <v>89</v>
      </c>
      <c r="B328">
        <v>1420</v>
      </c>
      <c r="C328" s="17">
        <v>0.4</v>
      </c>
      <c r="D328" s="17">
        <v>4.6709101758972464E-2</v>
      </c>
      <c r="E328" t="s">
        <v>131</v>
      </c>
      <c r="F328" t="s">
        <v>134</v>
      </c>
    </row>
    <row r="329" spans="1:6" outlineLevel="1" x14ac:dyDescent="0.25">
      <c r="A329" t="s">
        <v>89</v>
      </c>
      <c r="B329">
        <v>1420</v>
      </c>
      <c r="C329" s="17">
        <v>0.60000000000000009</v>
      </c>
      <c r="D329" s="17">
        <v>7.0063652638458693E-2</v>
      </c>
      <c r="E329" t="s">
        <v>131</v>
      </c>
      <c r="F329" t="s">
        <v>134</v>
      </c>
    </row>
    <row r="330" spans="1:6" outlineLevel="1" x14ac:dyDescent="0.25">
      <c r="A330" t="s">
        <v>89</v>
      </c>
      <c r="B330">
        <v>1420</v>
      </c>
      <c r="C330" s="17">
        <v>0.8</v>
      </c>
      <c r="D330" s="17">
        <v>9.3418203517944928E-2</v>
      </c>
      <c r="E330" t="s">
        <v>131</v>
      </c>
      <c r="F330" t="s">
        <v>134</v>
      </c>
    </row>
    <row r="331" spans="1:6" outlineLevel="1" x14ac:dyDescent="0.25">
      <c r="A331" t="s">
        <v>89</v>
      </c>
      <c r="B331">
        <v>1420</v>
      </c>
      <c r="C331" s="17">
        <v>1</v>
      </c>
      <c r="D331" s="17">
        <v>0.11677275439743115</v>
      </c>
      <c r="E331" t="s">
        <v>131</v>
      </c>
      <c r="F331" t="s">
        <v>134</v>
      </c>
    </row>
    <row r="332" spans="1:6" outlineLevel="1" x14ac:dyDescent="0.25">
      <c r="A332" t="s">
        <v>89</v>
      </c>
      <c r="B332">
        <v>1420</v>
      </c>
      <c r="C332" s="17">
        <v>1.2</v>
      </c>
      <c r="D332" s="17">
        <v>0.14012730527691739</v>
      </c>
      <c r="E332" t="s">
        <v>131</v>
      </c>
      <c r="F332" t="s">
        <v>134</v>
      </c>
    </row>
    <row r="333" spans="1:6" outlineLevel="1" x14ac:dyDescent="0.25">
      <c r="A333" t="s">
        <v>89</v>
      </c>
      <c r="B333">
        <v>1420</v>
      </c>
      <c r="C333" s="17">
        <v>1.4</v>
      </c>
      <c r="D333" s="17">
        <v>0.20320110255463042</v>
      </c>
      <c r="E333" t="s">
        <v>131</v>
      </c>
      <c r="F333" t="s">
        <v>134</v>
      </c>
    </row>
    <row r="334" spans="1:6" outlineLevel="1" x14ac:dyDescent="0.25">
      <c r="A334" t="s">
        <v>89</v>
      </c>
      <c r="B334">
        <v>1420</v>
      </c>
      <c r="C334" s="17">
        <v>1.5999999999999999</v>
      </c>
      <c r="D334" s="17">
        <v>0.22655565343411666</v>
      </c>
      <c r="E334" t="s">
        <v>131</v>
      </c>
      <c r="F334" t="s">
        <v>134</v>
      </c>
    </row>
    <row r="335" spans="1:6" outlineLevel="1" x14ac:dyDescent="0.25">
      <c r="A335" t="s">
        <v>89</v>
      </c>
      <c r="B335">
        <v>1420</v>
      </c>
      <c r="C335" s="17">
        <v>1.7999999999999998</v>
      </c>
      <c r="D335" s="17">
        <v>0.24991020431360286</v>
      </c>
      <c r="E335" t="s">
        <v>131</v>
      </c>
      <c r="F335" t="s">
        <v>134</v>
      </c>
    </row>
    <row r="336" spans="1:6" outlineLevel="1" x14ac:dyDescent="0.25">
      <c r="A336" t="s">
        <v>89</v>
      </c>
      <c r="B336">
        <v>1420</v>
      </c>
      <c r="C336" s="17">
        <v>1.9999999999999998</v>
      </c>
      <c r="D336" s="17">
        <v>0.27326475519308907</v>
      </c>
      <c r="E336" t="s">
        <v>131</v>
      </c>
      <c r="F336" t="s">
        <v>134</v>
      </c>
    </row>
    <row r="337" spans="1:6" outlineLevel="1" x14ac:dyDescent="0.25">
      <c r="A337" t="s">
        <v>89</v>
      </c>
      <c r="B337">
        <v>1420</v>
      </c>
      <c r="C337" s="17">
        <v>2.1999999999999997</v>
      </c>
      <c r="D337" s="17">
        <v>0.29661930607257531</v>
      </c>
      <c r="E337" t="s">
        <v>131</v>
      </c>
      <c r="F337" t="s">
        <v>134</v>
      </c>
    </row>
    <row r="338" spans="1:6" outlineLevel="1" x14ac:dyDescent="0.25">
      <c r="A338" t="s">
        <v>89</v>
      </c>
      <c r="B338">
        <v>1420</v>
      </c>
      <c r="C338" s="17">
        <v>2.4</v>
      </c>
      <c r="D338" s="17">
        <v>0.31997385695206149</v>
      </c>
      <c r="E338" t="s">
        <v>131</v>
      </c>
      <c r="F338" t="s">
        <v>134</v>
      </c>
    </row>
    <row r="339" spans="1:6" outlineLevel="1" x14ac:dyDescent="0.25">
      <c r="A339" t="s">
        <v>89</v>
      </c>
      <c r="B339">
        <v>1420</v>
      </c>
      <c r="C339" s="17">
        <v>2.6</v>
      </c>
      <c r="D339" s="17">
        <v>0.46311045437753967</v>
      </c>
      <c r="E339" t="s">
        <v>131</v>
      </c>
      <c r="F339" t="s">
        <v>134</v>
      </c>
    </row>
    <row r="340" spans="1:6" outlineLevel="1" x14ac:dyDescent="0.25">
      <c r="A340" t="s">
        <v>89</v>
      </c>
      <c r="B340">
        <v>1420</v>
      </c>
      <c r="C340" s="17">
        <v>2.8000000000000003</v>
      </c>
      <c r="D340" s="17">
        <v>0.46311045437753967</v>
      </c>
      <c r="E340" t="s">
        <v>131</v>
      </c>
      <c r="F340" t="s">
        <v>134</v>
      </c>
    </row>
    <row r="341" spans="1:6" outlineLevel="1" x14ac:dyDescent="0.25">
      <c r="A341" t="s">
        <v>89</v>
      </c>
      <c r="B341">
        <v>1420</v>
      </c>
      <c r="C341" s="17">
        <v>3.0000000000000004</v>
      </c>
      <c r="D341" s="17">
        <v>0.46311045437753967</v>
      </c>
      <c r="E341" t="s">
        <v>131</v>
      </c>
      <c r="F341" t="s">
        <v>134</v>
      </c>
    </row>
    <row r="342" spans="1:6" outlineLevel="1" x14ac:dyDescent="0.25">
      <c r="A342" t="s">
        <v>89</v>
      </c>
      <c r="B342">
        <v>1420</v>
      </c>
      <c r="C342" s="17">
        <v>3.2000000000000006</v>
      </c>
      <c r="D342" s="17">
        <v>0.46311045437753967</v>
      </c>
      <c r="E342" t="s">
        <v>131</v>
      </c>
      <c r="F342" t="s">
        <v>134</v>
      </c>
    </row>
    <row r="343" spans="1:6" outlineLevel="1" x14ac:dyDescent="0.25">
      <c r="A343" t="s">
        <v>89</v>
      </c>
      <c r="B343">
        <v>1420</v>
      </c>
      <c r="C343" s="17">
        <v>3.4000000000000008</v>
      </c>
      <c r="D343" s="17">
        <v>0.46311045437753967</v>
      </c>
      <c r="E343" t="s">
        <v>131</v>
      </c>
      <c r="F343" t="s">
        <v>134</v>
      </c>
    </row>
    <row r="344" spans="1:6" outlineLevel="1" x14ac:dyDescent="0.25">
      <c r="A344" t="s">
        <v>89</v>
      </c>
      <c r="B344">
        <v>1420</v>
      </c>
      <c r="C344" s="17">
        <v>3.600000000000001</v>
      </c>
      <c r="D344" s="17">
        <v>0.46311045437753967</v>
      </c>
      <c r="E344" t="s">
        <v>131</v>
      </c>
      <c r="F344" t="s">
        <v>134</v>
      </c>
    </row>
    <row r="345" spans="1:6" outlineLevel="1" x14ac:dyDescent="0.25">
      <c r="A345" t="s">
        <v>89</v>
      </c>
      <c r="B345">
        <v>1420</v>
      </c>
      <c r="C345" s="17">
        <v>3.8000000000000012</v>
      </c>
      <c r="D345" s="17">
        <v>0.46311045437753967</v>
      </c>
      <c r="E345" t="s">
        <v>131</v>
      </c>
      <c r="F345" t="s">
        <v>134</v>
      </c>
    </row>
    <row r="346" spans="1:6" outlineLevel="1" x14ac:dyDescent="0.25">
      <c r="A346" t="s">
        <v>89</v>
      </c>
      <c r="B346">
        <v>1420</v>
      </c>
      <c r="C346" s="17">
        <v>4.0000000000000009</v>
      </c>
      <c r="D346" s="17">
        <v>0.46311045437753967</v>
      </c>
      <c r="E346" t="s">
        <v>131</v>
      </c>
      <c r="F346" t="s">
        <v>134</v>
      </c>
    </row>
    <row r="347" spans="1:6" ht="14.25" customHeight="1" outlineLevel="1" x14ac:dyDescent="0.25">
      <c r="A347" t="s">
        <v>90</v>
      </c>
      <c r="B347">
        <v>1421</v>
      </c>
      <c r="C347" s="17">
        <v>0</v>
      </c>
      <c r="D347" s="17">
        <v>0</v>
      </c>
      <c r="E347" t="s">
        <v>131</v>
      </c>
      <c r="F347" t="s">
        <v>134</v>
      </c>
    </row>
    <row r="348" spans="1:6" outlineLevel="1" x14ac:dyDescent="0.25">
      <c r="A348" t="s">
        <v>90</v>
      </c>
      <c r="B348">
        <v>1421</v>
      </c>
      <c r="C348" s="17">
        <v>0.2</v>
      </c>
      <c r="D348" s="17">
        <v>3.798093401176747E-2</v>
      </c>
      <c r="E348" t="s">
        <v>131</v>
      </c>
      <c r="F348" t="s">
        <v>134</v>
      </c>
    </row>
    <row r="349" spans="1:6" outlineLevel="1" x14ac:dyDescent="0.25">
      <c r="A349" t="s">
        <v>90</v>
      </c>
      <c r="B349">
        <v>1421</v>
      </c>
      <c r="C349" s="17">
        <v>0.4</v>
      </c>
      <c r="D349" s="17">
        <v>7.596186802353494E-2</v>
      </c>
      <c r="E349" t="s">
        <v>131</v>
      </c>
      <c r="F349" t="s">
        <v>134</v>
      </c>
    </row>
    <row r="350" spans="1:6" outlineLevel="1" x14ac:dyDescent="0.25">
      <c r="A350" t="s">
        <v>90</v>
      </c>
      <c r="B350">
        <v>1421</v>
      </c>
      <c r="C350" s="17">
        <v>0.60000000000000009</v>
      </c>
      <c r="D350" s="17">
        <v>0.10426267177742286</v>
      </c>
      <c r="E350" t="s">
        <v>131</v>
      </c>
      <c r="F350" t="s">
        <v>134</v>
      </c>
    </row>
    <row r="351" spans="1:6" outlineLevel="1" x14ac:dyDescent="0.25">
      <c r="A351" t="s">
        <v>90</v>
      </c>
      <c r="B351">
        <v>1421</v>
      </c>
      <c r="C351" s="17">
        <v>0.8</v>
      </c>
      <c r="D351" s="17">
        <v>0.1357901856172706</v>
      </c>
      <c r="E351" t="s">
        <v>131</v>
      </c>
      <c r="F351" t="s">
        <v>134</v>
      </c>
    </row>
    <row r="352" spans="1:6" outlineLevel="1" x14ac:dyDescent="0.25">
      <c r="A352" t="s">
        <v>90</v>
      </c>
      <c r="B352">
        <v>1421</v>
      </c>
      <c r="C352" s="17">
        <v>1</v>
      </c>
      <c r="D352" s="17">
        <v>0.15817535421356546</v>
      </c>
      <c r="E352" t="s">
        <v>131</v>
      </c>
      <c r="F352" t="s">
        <v>134</v>
      </c>
    </row>
    <row r="353" spans="1:6" outlineLevel="1" x14ac:dyDescent="0.25">
      <c r="A353" t="s">
        <v>90</v>
      </c>
      <c r="B353">
        <v>1421</v>
      </c>
      <c r="C353" s="17">
        <v>1.2</v>
      </c>
      <c r="D353" s="17">
        <v>0.18056052280986037</v>
      </c>
      <c r="E353" t="s">
        <v>131</v>
      </c>
      <c r="F353" t="s">
        <v>134</v>
      </c>
    </row>
    <row r="354" spans="1:6" outlineLevel="1" x14ac:dyDescent="0.25">
      <c r="A354" t="s">
        <v>90</v>
      </c>
      <c r="B354">
        <v>1421</v>
      </c>
      <c r="C354" s="17">
        <v>1.4</v>
      </c>
      <c r="D354" s="17">
        <v>0.24010168794518436</v>
      </c>
      <c r="E354" t="s">
        <v>131</v>
      </c>
      <c r="F354" t="s">
        <v>134</v>
      </c>
    </row>
    <row r="355" spans="1:6" outlineLevel="1" x14ac:dyDescent="0.25">
      <c r="A355" t="s">
        <v>90</v>
      </c>
      <c r="B355">
        <v>1421</v>
      </c>
      <c r="C355" s="17">
        <v>1.5999999999999999</v>
      </c>
      <c r="D355" s="17">
        <v>0.26248685654147924</v>
      </c>
      <c r="E355" t="s">
        <v>131</v>
      </c>
      <c r="F355" t="s">
        <v>134</v>
      </c>
    </row>
    <row r="356" spans="1:6" outlineLevel="1" x14ac:dyDescent="0.25">
      <c r="A356" t="s">
        <v>90</v>
      </c>
      <c r="B356">
        <v>1421</v>
      </c>
      <c r="C356" s="17">
        <v>1.7999999999999998</v>
      </c>
      <c r="D356" s="17">
        <v>0.28487202513777404</v>
      </c>
      <c r="E356" t="s">
        <v>131</v>
      </c>
      <c r="F356" t="s">
        <v>134</v>
      </c>
    </row>
    <row r="357" spans="1:6" outlineLevel="1" x14ac:dyDescent="0.25">
      <c r="A357" t="s">
        <v>90</v>
      </c>
      <c r="B357">
        <v>1421</v>
      </c>
      <c r="C357" s="17">
        <v>1.9999999999999998</v>
      </c>
      <c r="D357" s="17">
        <v>0.30725719373406885</v>
      </c>
      <c r="E357" t="s">
        <v>131</v>
      </c>
      <c r="F357" t="s">
        <v>134</v>
      </c>
    </row>
    <row r="358" spans="1:6" outlineLevel="1" x14ac:dyDescent="0.25">
      <c r="A358" t="s">
        <v>90</v>
      </c>
      <c r="B358">
        <v>1421</v>
      </c>
      <c r="C358" s="17">
        <v>2.1999999999999997</v>
      </c>
      <c r="D358" s="17">
        <v>0.3296423623303637</v>
      </c>
      <c r="E358" t="s">
        <v>131</v>
      </c>
      <c r="F358" t="s">
        <v>134</v>
      </c>
    </row>
    <row r="359" spans="1:6" outlineLevel="1" x14ac:dyDescent="0.25">
      <c r="A359" t="s">
        <v>90</v>
      </c>
      <c r="B359">
        <v>1421</v>
      </c>
      <c r="C359" s="17">
        <v>2.4</v>
      </c>
      <c r="D359" s="17">
        <v>0.36385880124184466</v>
      </c>
      <c r="E359" t="s">
        <v>131</v>
      </c>
      <c r="F359" t="s">
        <v>134</v>
      </c>
    </row>
    <row r="360" spans="1:6" outlineLevel="1" x14ac:dyDescent="0.25">
      <c r="A360" t="s">
        <v>90</v>
      </c>
      <c r="B360">
        <v>1421</v>
      </c>
      <c r="C360" s="17">
        <v>2.6</v>
      </c>
      <c r="D360" s="17">
        <v>0.49775819261566751</v>
      </c>
      <c r="E360" t="s">
        <v>131</v>
      </c>
      <c r="F360" t="s">
        <v>134</v>
      </c>
    </row>
    <row r="361" spans="1:6" outlineLevel="1" x14ac:dyDescent="0.25">
      <c r="A361" t="s">
        <v>90</v>
      </c>
      <c r="B361">
        <v>1421</v>
      </c>
      <c r="C361" s="17">
        <v>2.8000000000000003</v>
      </c>
      <c r="D361" s="17">
        <v>0.49775819261566751</v>
      </c>
      <c r="E361" t="s">
        <v>131</v>
      </c>
      <c r="F361" t="s">
        <v>134</v>
      </c>
    </row>
    <row r="362" spans="1:6" outlineLevel="1" x14ac:dyDescent="0.25">
      <c r="A362" t="s">
        <v>90</v>
      </c>
      <c r="B362">
        <v>1421</v>
      </c>
      <c r="C362" s="17">
        <v>3.0000000000000004</v>
      </c>
      <c r="D362" s="17">
        <v>0.49775819261566751</v>
      </c>
      <c r="E362" t="s">
        <v>131</v>
      </c>
      <c r="F362" t="s">
        <v>134</v>
      </c>
    </row>
    <row r="363" spans="1:6" outlineLevel="1" x14ac:dyDescent="0.25">
      <c r="A363" t="s">
        <v>90</v>
      </c>
      <c r="B363">
        <v>1421</v>
      </c>
      <c r="C363" s="17">
        <v>3.2000000000000006</v>
      </c>
      <c r="D363" s="17">
        <v>0.49775819261566751</v>
      </c>
      <c r="E363" t="s">
        <v>131</v>
      </c>
      <c r="F363" t="s">
        <v>134</v>
      </c>
    </row>
    <row r="364" spans="1:6" outlineLevel="1" x14ac:dyDescent="0.25">
      <c r="A364" t="s">
        <v>90</v>
      </c>
      <c r="B364">
        <v>1421</v>
      </c>
      <c r="C364" s="17">
        <v>3.4000000000000008</v>
      </c>
      <c r="D364" s="17">
        <v>0.49775819261566751</v>
      </c>
      <c r="E364" t="s">
        <v>131</v>
      </c>
      <c r="F364" t="s">
        <v>134</v>
      </c>
    </row>
    <row r="365" spans="1:6" outlineLevel="1" x14ac:dyDescent="0.25">
      <c r="A365" t="s">
        <v>90</v>
      </c>
      <c r="B365">
        <v>1421</v>
      </c>
      <c r="C365" s="17">
        <v>3.600000000000001</v>
      </c>
      <c r="D365" s="17">
        <v>0.49775819261566751</v>
      </c>
      <c r="E365" t="s">
        <v>131</v>
      </c>
      <c r="F365" t="s">
        <v>134</v>
      </c>
    </row>
    <row r="366" spans="1:6" ht="15.75" customHeight="1" outlineLevel="1" x14ac:dyDescent="0.25">
      <c r="A366" t="s">
        <v>90</v>
      </c>
      <c r="B366">
        <v>1421</v>
      </c>
      <c r="C366" s="17">
        <v>3.8000000000000012</v>
      </c>
      <c r="D366" s="17">
        <v>0.49775819261566751</v>
      </c>
      <c r="E366" t="s">
        <v>131</v>
      </c>
      <c r="F366" t="s">
        <v>134</v>
      </c>
    </row>
    <row r="367" spans="1:6" outlineLevel="1" x14ac:dyDescent="0.25">
      <c r="A367" t="s">
        <v>90</v>
      </c>
      <c r="B367">
        <v>1421</v>
      </c>
      <c r="C367" s="17">
        <v>4.0000000000000009</v>
      </c>
      <c r="D367" s="17">
        <v>0.49775819261566751</v>
      </c>
      <c r="E367" t="s">
        <v>131</v>
      </c>
      <c r="F367" t="s">
        <v>134</v>
      </c>
    </row>
    <row r="368" spans="1:6" ht="14.25" customHeight="1" outlineLevel="1" x14ac:dyDescent="0.25">
      <c r="A368" t="s">
        <v>91</v>
      </c>
      <c r="B368">
        <v>1422</v>
      </c>
      <c r="C368" s="17">
        <v>0</v>
      </c>
      <c r="D368" s="17">
        <v>0</v>
      </c>
      <c r="E368" t="s">
        <v>131</v>
      </c>
      <c r="F368" t="s">
        <v>134</v>
      </c>
    </row>
    <row r="369" spans="1:6" outlineLevel="1" x14ac:dyDescent="0.25">
      <c r="A369" t="s">
        <v>91</v>
      </c>
      <c r="B369">
        <v>1422</v>
      </c>
      <c r="C369" s="17">
        <v>0.2</v>
      </c>
      <c r="D369" s="17">
        <v>9.2017520004447143E-2</v>
      </c>
      <c r="E369" t="s">
        <v>131</v>
      </c>
      <c r="F369" t="s">
        <v>134</v>
      </c>
    </row>
    <row r="370" spans="1:6" outlineLevel="1" x14ac:dyDescent="0.25">
      <c r="A370" t="s">
        <v>91</v>
      </c>
      <c r="B370">
        <v>1422</v>
      </c>
      <c r="C370" s="17">
        <v>0.4</v>
      </c>
      <c r="D370" s="17">
        <v>0.1630143984203356</v>
      </c>
      <c r="E370" t="s">
        <v>131</v>
      </c>
      <c r="F370" t="s">
        <v>134</v>
      </c>
    </row>
    <row r="371" spans="1:6" outlineLevel="1" x14ac:dyDescent="0.25">
      <c r="A371" t="s">
        <v>91</v>
      </c>
      <c r="B371">
        <v>1422</v>
      </c>
      <c r="C371" s="17">
        <v>0.60000000000000009</v>
      </c>
      <c r="D371" s="17">
        <v>0.20248031445338613</v>
      </c>
      <c r="E371" t="s">
        <v>131</v>
      </c>
      <c r="F371" t="s">
        <v>134</v>
      </c>
    </row>
    <row r="372" spans="1:6" outlineLevel="1" x14ac:dyDescent="0.25">
      <c r="A372" t="s">
        <v>91</v>
      </c>
      <c r="B372">
        <v>1422</v>
      </c>
      <c r="C372" s="17">
        <v>0.8</v>
      </c>
      <c r="D372" s="17">
        <v>0.25245655128071592</v>
      </c>
      <c r="E372" t="s">
        <v>131</v>
      </c>
      <c r="F372" t="s">
        <v>134</v>
      </c>
    </row>
    <row r="373" spans="1:6" outlineLevel="1" x14ac:dyDescent="0.25">
      <c r="A373" t="s">
        <v>91</v>
      </c>
      <c r="B373">
        <v>1422</v>
      </c>
      <c r="C373" s="17">
        <v>1</v>
      </c>
      <c r="D373" s="17">
        <v>0.27265354585758766</v>
      </c>
      <c r="E373" t="s">
        <v>131</v>
      </c>
      <c r="F373" t="s">
        <v>134</v>
      </c>
    </row>
    <row r="374" spans="1:6" outlineLevel="1" x14ac:dyDescent="0.25">
      <c r="A374" t="s">
        <v>91</v>
      </c>
      <c r="B374">
        <v>1422</v>
      </c>
      <c r="C374" s="17">
        <v>1.2</v>
      </c>
      <c r="D374" s="17">
        <v>0.29285054043445946</v>
      </c>
      <c r="E374" t="s">
        <v>131</v>
      </c>
      <c r="F374" t="s">
        <v>134</v>
      </c>
    </row>
    <row r="375" spans="1:6" outlineLevel="1" x14ac:dyDescent="0.25">
      <c r="A375" t="s">
        <v>91</v>
      </c>
      <c r="B375">
        <v>1422</v>
      </c>
      <c r="C375" s="17">
        <v>1.4</v>
      </c>
      <c r="D375" s="17">
        <v>0.34441754098251026</v>
      </c>
      <c r="E375" t="s">
        <v>131</v>
      </c>
      <c r="F375" t="s">
        <v>134</v>
      </c>
    </row>
    <row r="376" spans="1:6" outlineLevel="1" x14ac:dyDescent="0.25">
      <c r="A376" t="s">
        <v>91</v>
      </c>
      <c r="B376">
        <v>1422</v>
      </c>
      <c r="C376" s="17">
        <v>1.5999999999999999</v>
      </c>
      <c r="D376" s="17">
        <v>0.364614535559382</v>
      </c>
      <c r="E376" t="s">
        <v>131</v>
      </c>
      <c r="F376" t="s">
        <v>134</v>
      </c>
    </row>
    <row r="377" spans="1:6" outlineLevel="1" x14ac:dyDescent="0.25">
      <c r="A377" t="s">
        <v>91</v>
      </c>
      <c r="B377">
        <v>1422</v>
      </c>
      <c r="C377" s="17">
        <v>1.7999999999999998</v>
      </c>
      <c r="D377" s="17">
        <v>0.38481153013625369</v>
      </c>
      <c r="E377" t="s">
        <v>131</v>
      </c>
      <c r="F377" t="s">
        <v>134</v>
      </c>
    </row>
    <row r="378" spans="1:6" outlineLevel="1" x14ac:dyDescent="0.25">
      <c r="A378" t="s">
        <v>91</v>
      </c>
      <c r="B378">
        <v>1422</v>
      </c>
      <c r="C378" s="17">
        <v>1.9999999999999998</v>
      </c>
      <c r="D378" s="17">
        <v>0.40500852471312543</v>
      </c>
      <c r="E378" t="s">
        <v>131</v>
      </c>
      <c r="F378" t="s">
        <v>134</v>
      </c>
    </row>
    <row r="379" spans="1:6" outlineLevel="1" x14ac:dyDescent="0.25">
      <c r="A379" t="s">
        <v>91</v>
      </c>
      <c r="B379">
        <v>1422</v>
      </c>
      <c r="C379" s="17">
        <v>2.1999999999999997</v>
      </c>
      <c r="D379" s="17">
        <v>0.42520551928999717</v>
      </c>
      <c r="E379" t="s">
        <v>131</v>
      </c>
      <c r="F379" t="s">
        <v>134</v>
      </c>
    </row>
    <row r="380" spans="1:6" outlineLevel="1" x14ac:dyDescent="0.25">
      <c r="A380" t="s">
        <v>91</v>
      </c>
      <c r="B380">
        <v>1422</v>
      </c>
      <c r="C380" s="17">
        <v>2.4</v>
      </c>
      <c r="D380" s="17">
        <v>0.46291971519066782</v>
      </c>
      <c r="E380" t="s">
        <v>131</v>
      </c>
      <c r="F380" t="s">
        <v>134</v>
      </c>
    </row>
    <row r="381" spans="1:6" outlineLevel="1" x14ac:dyDescent="0.25">
      <c r="A381" t="s">
        <v>91</v>
      </c>
      <c r="B381">
        <v>1422</v>
      </c>
      <c r="C381" s="17">
        <v>2.6</v>
      </c>
      <c r="D381" s="17">
        <v>0.57596808148927814</v>
      </c>
      <c r="E381" t="s">
        <v>131</v>
      </c>
      <c r="F381" t="s">
        <v>134</v>
      </c>
    </row>
    <row r="382" spans="1:6" outlineLevel="1" x14ac:dyDescent="0.25">
      <c r="A382" t="s">
        <v>91</v>
      </c>
      <c r="B382">
        <v>1422</v>
      </c>
      <c r="C382" s="17">
        <v>2.8000000000000003</v>
      </c>
      <c r="D382" s="17">
        <v>0.57596808148927814</v>
      </c>
      <c r="E382" t="s">
        <v>131</v>
      </c>
      <c r="F382" t="s">
        <v>134</v>
      </c>
    </row>
    <row r="383" spans="1:6" outlineLevel="1" x14ac:dyDescent="0.25">
      <c r="A383" t="s">
        <v>91</v>
      </c>
      <c r="B383">
        <v>1422</v>
      </c>
      <c r="C383" s="17">
        <v>3.0000000000000004</v>
      </c>
      <c r="D383" s="17">
        <v>0.57596808148927814</v>
      </c>
      <c r="E383" t="s">
        <v>131</v>
      </c>
      <c r="F383" t="s">
        <v>134</v>
      </c>
    </row>
    <row r="384" spans="1:6" outlineLevel="1" x14ac:dyDescent="0.25">
      <c r="A384" t="s">
        <v>91</v>
      </c>
      <c r="B384">
        <v>1422</v>
      </c>
      <c r="C384" s="17">
        <v>3.2000000000000006</v>
      </c>
      <c r="D384" s="17">
        <v>0.57596808148927814</v>
      </c>
      <c r="E384" t="s">
        <v>131</v>
      </c>
      <c r="F384" t="s">
        <v>134</v>
      </c>
    </row>
    <row r="385" spans="1:6" outlineLevel="1" x14ac:dyDescent="0.25">
      <c r="A385" t="s">
        <v>91</v>
      </c>
      <c r="B385">
        <v>1422</v>
      </c>
      <c r="C385" s="17">
        <v>3.4000000000000008</v>
      </c>
      <c r="D385" s="17">
        <v>0.57596808148927814</v>
      </c>
      <c r="E385" t="s">
        <v>131</v>
      </c>
      <c r="F385" t="s">
        <v>134</v>
      </c>
    </row>
    <row r="386" spans="1:6" outlineLevel="1" x14ac:dyDescent="0.25">
      <c r="A386" t="s">
        <v>91</v>
      </c>
      <c r="B386">
        <v>1422</v>
      </c>
      <c r="C386" s="17">
        <v>3.600000000000001</v>
      </c>
      <c r="D386" s="17">
        <v>0.57596808148927814</v>
      </c>
      <c r="E386" t="s">
        <v>131</v>
      </c>
      <c r="F386" t="s">
        <v>134</v>
      </c>
    </row>
    <row r="387" spans="1:6" ht="15.75" customHeight="1" outlineLevel="1" x14ac:dyDescent="0.25">
      <c r="A387" t="s">
        <v>91</v>
      </c>
      <c r="B387">
        <v>1422</v>
      </c>
      <c r="C387" s="17">
        <v>3.8000000000000012</v>
      </c>
      <c r="D387" s="17">
        <v>0.57596808148927814</v>
      </c>
      <c r="E387" t="s">
        <v>131</v>
      </c>
      <c r="F387" t="s">
        <v>134</v>
      </c>
    </row>
    <row r="388" spans="1:6" outlineLevel="1" x14ac:dyDescent="0.25">
      <c r="A388" t="s">
        <v>91</v>
      </c>
      <c r="B388">
        <v>1422</v>
      </c>
      <c r="C388" s="17">
        <v>4.0000000000000009</v>
      </c>
      <c r="D388" s="17">
        <v>0.57596808148927814</v>
      </c>
      <c r="E388" t="s">
        <v>131</v>
      </c>
      <c r="F388" t="s">
        <v>134</v>
      </c>
    </row>
    <row r="389" spans="1:6" ht="14.25" customHeight="1" outlineLevel="1" x14ac:dyDescent="0.25">
      <c r="A389" t="s">
        <v>92</v>
      </c>
      <c r="B389">
        <v>1423</v>
      </c>
      <c r="C389" s="17">
        <v>0</v>
      </c>
      <c r="D389" s="17">
        <v>0</v>
      </c>
      <c r="E389" t="s">
        <v>131</v>
      </c>
      <c r="F389" t="s">
        <v>134</v>
      </c>
    </row>
    <row r="390" spans="1:6" outlineLevel="1" x14ac:dyDescent="0.25">
      <c r="A390" t="s">
        <v>92</v>
      </c>
      <c r="B390">
        <v>1423</v>
      </c>
      <c r="C390" s="17">
        <v>0.2</v>
      </c>
      <c r="D390" s="17">
        <v>7.6663407662944327E-2</v>
      </c>
      <c r="E390" t="s">
        <v>131</v>
      </c>
      <c r="F390" t="s">
        <v>134</v>
      </c>
    </row>
    <row r="391" spans="1:6" outlineLevel="1" x14ac:dyDescent="0.25">
      <c r="A391" t="s">
        <v>92</v>
      </c>
      <c r="B391">
        <v>1423</v>
      </c>
      <c r="C391" s="17">
        <v>0.4</v>
      </c>
      <c r="D391" s="17">
        <v>0.15332681532588865</v>
      </c>
      <c r="E391" t="s">
        <v>131</v>
      </c>
      <c r="F391" t="s">
        <v>134</v>
      </c>
    </row>
    <row r="392" spans="1:6" outlineLevel="1" x14ac:dyDescent="0.25">
      <c r="A392" t="s">
        <v>92</v>
      </c>
      <c r="B392">
        <v>1423</v>
      </c>
      <c r="C392" s="17">
        <v>0.60000000000000009</v>
      </c>
      <c r="D392" s="17">
        <v>0.19470900049551548</v>
      </c>
      <c r="E392" t="s">
        <v>131</v>
      </c>
      <c r="F392" t="s">
        <v>134</v>
      </c>
    </row>
    <row r="393" spans="1:6" outlineLevel="1" x14ac:dyDescent="0.25">
      <c r="A393" t="s">
        <v>92</v>
      </c>
      <c r="B393">
        <v>1423</v>
      </c>
      <c r="C393" s="17">
        <v>0.8</v>
      </c>
      <c r="D393" s="17">
        <v>0.24785159316291483</v>
      </c>
      <c r="E393" t="s">
        <v>131</v>
      </c>
      <c r="F393" t="s">
        <v>134</v>
      </c>
    </row>
    <row r="394" spans="1:6" outlineLevel="1" x14ac:dyDescent="0.25">
      <c r="A394" t="s">
        <v>92</v>
      </c>
      <c r="B394">
        <v>1423</v>
      </c>
      <c r="C394" s="17">
        <v>1</v>
      </c>
      <c r="D394" s="17">
        <v>0.26767303125329206</v>
      </c>
      <c r="E394" t="s">
        <v>131</v>
      </c>
      <c r="F394" t="s">
        <v>134</v>
      </c>
    </row>
    <row r="395" spans="1:6" outlineLevel="1" x14ac:dyDescent="0.25">
      <c r="A395" t="s">
        <v>92</v>
      </c>
      <c r="B395">
        <v>1423</v>
      </c>
      <c r="C395" s="17">
        <v>1.2</v>
      </c>
      <c r="D395" s="17">
        <v>0.2874944693436694</v>
      </c>
      <c r="E395" t="s">
        <v>131</v>
      </c>
      <c r="F395" t="s">
        <v>134</v>
      </c>
    </row>
    <row r="396" spans="1:6" outlineLevel="1" x14ac:dyDescent="0.25">
      <c r="A396" t="s">
        <v>92</v>
      </c>
      <c r="B396">
        <v>1423</v>
      </c>
      <c r="C396" s="17">
        <v>1.4</v>
      </c>
      <c r="D396" s="17">
        <v>0.33769286336932186</v>
      </c>
      <c r="E396" t="s">
        <v>131</v>
      </c>
      <c r="F396" t="s">
        <v>134</v>
      </c>
    </row>
    <row r="397" spans="1:6" outlineLevel="1" x14ac:dyDescent="0.25">
      <c r="A397" t="s">
        <v>92</v>
      </c>
      <c r="B397">
        <v>1423</v>
      </c>
      <c r="C397" s="17">
        <v>1.5999999999999999</v>
      </c>
      <c r="D397" s="17">
        <v>0.35751430145969909</v>
      </c>
      <c r="E397" t="s">
        <v>131</v>
      </c>
      <c r="F397" t="s">
        <v>134</v>
      </c>
    </row>
    <row r="398" spans="1:6" outlineLevel="1" x14ac:dyDescent="0.25">
      <c r="A398" t="s">
        <v>92</v>
      </c>
      <c r="B398">
        <v>1423</v>
      </c>
      <c r="C398" s="17">
        <v>1.7999999999999998</v>
      </c>
      <c r="D398" s="17">
        <v>0.37733573955007638</v>
      </c>
      <c r="E398" t="s">
        <v>131</v>
      </c>
      <c r="F398" t="s">
        <v>134</v>
      </c>
    </row>
    <row r="399" spans="1:6" outlineLevel="1" x14ac:dyDescent="0.25">
      <c r="A399" t="s">
        <v>92</v>
      </c>
      <c r="B399">
        <v>1423</v>
      </c>
      <c r="C399" s="17">
        <v>1.9999999999999998</v>
      </c>
      <c r="D399" s="17">
        <v>0.39715717764045361</v>
      </c>
      <c r="E399" t="s">
        <v>131</v>
      </c>
      <c r="F399" t="s">
        <v>134</v>
      </c>
    </row>
    <row r="400" spans="1:6" outlineLevel="1" x14ac:dyDescent="0.25">
      <c r="A400" t="s">
        <v>92</v>
      </c>
      <c r="B400">
        <v>1423</v>
      </c>
      <c r="C400" s="17">
        <v>2.1999999999999997</v>
      </c>
      <c r="D400" s="17">
        <v>0.41697861573083084</v>
      </c>
      <c r="E400" t="s">
        <v>131</v>
      </c>
      <c r="F400" t="s">
        <v>134</v>
      </c>
    </row>
    <row r="401" spans="1:6" outlineLevel="1" x14ac:dyDescent="0.25">
      <c r="A401" t="s">
        <v>92</v>
      </c>
      <c r="B401">
        <v>1423</v>
      </c>
      <c r="C401" s="17">
        <v>2.4</v>
      </c>
      <c r="D401" s="17">
        <v>0.47992154797970721</v>
      </c>
      <c r="E401" t="s">
        <v>131</v>
      </c>
      <c r="F401" t="s">
        <v>134</v>
      </c>
    </row>
    <row r="402" spans="1:6" outlineLevel="1" x14ac:dyDescent="0.25">
      <c r="A402" t="s">
        <v>92</v>
      </c>
      <c r="B402">
        <v>1423</v>
      </c>
      <c r="C402" s="17">
        <v>2.6</v>
      </c>
      <c r="D402" s="17">
        <v>0.58939125113382074</v>
      </c>
      <c r="E402" t="s">
        <v>131</v>
      </c>
      <c r="F402" t="s">
        <v>134</v>
      </c>
    </row>
    <row r="403" spans="1:6" outlineLevel="1" x14ac:dyDescent="0.25">
      <c r="A403" t="s">
        <v>92</v>
      </c>
      <c r="B403">
        <v>1423</v>
      </c>
      <c r="C403" s="17">
        <v>2.8000000000000003</v>
      </c>
      <c r="D403" s="17">
        <v>0.58939125113382074</v>
      </c>
      <c r="E403" t="s">
        <v>131</v>
      </c>
      <c r="F403" t="s">
        <v>134</v>
      </c>
    </row>
    <row r="404" spans="1:6" outlineLevel="1" x14ac:dyDescent="0.25">
      <c r="A404" t="s">
        <v>92</v>
      </c>
      <c r="B404">
        <v>1423</v>
      </c>
      <c r="C404" s="17">
        <v>3.0000000000000004</v>
      </c>
      <c r="D404" s="17">
        <v>0.58939125113382074</v>
      </c>
      <c r="E404" t="s">
        <v>131</v>
      </c>
      <c r="F404" t="s">
        <v>134</v>
      </c>
    </row>
    <row r="405" spans="1:6" outlineLevel="1" x14ac:dyDescent="0.25">
      <c r="A405" t="s">
        <v>92</v>
      </c>
      <c r="B405">
        <v>1423</v>
      </c>
      <c r="C405" s="17">
        <v>3.2000000000000006</v>
      </c>
      <c r="D405" s="17">
        <v>0.58939125113382074</v>
      </c>
      <c r="E405" t="s">
        <v>131</v>
      </c>
      <c r="F405" t="s">
        <v>134</v>
      </c>
    </row>
    <row r="406" spans="1:6" outlineLevel="1" x14ac:dyDescent="0.25">
      <c r="A406" t="s">
        <v>92</v>
      </c>
      <c r="B406">
        <v>1423</v>
      </c>
      <c r="C406" s="17">
        <v>3.4000000000000008</v>
      </c>
      <c r="D406" s="17">
        <v>0.58939125113382074</v>
      </c>
      <c r="E406" t="s">
        <v>131</v>
      </c>
      <c r="F406" t="s">
        <v>134</v>
      </c>
    </row>
    <row r="407" spans="1:6" outlineLevel="1" x14ac:dyDescent="0.25">
      <c r="A407" t="s">
        <v>92</v>
      </c>
      <c r="B407">
        <v>1423</v>
      </c>
      <c r="C407" s="17">
        <v>3.600000000000001</v>
      </c>
      <c r="D407" s="17">
        <v>0.58939125113382074</v>
      </c>
      <c r="E407" t="s">
        <v>131</v>
      </c>
      <c r="F407" t="s">
        <v>134</v>
      </c>
    </row>
    <row r="408" spans="1:6" ht="15.75" customHeight="1" outlineLevel="1" x14ac:dyDescent="0.25">
      <c r="A408" t="s">
        <v>92</v>
      </c>
      <c r="B408">
        <v>1423</v>
      </c>
      <c r="C408" s="17">
        <v>3.8000000000000012</v>
      </c>
      <c r="D408" s="17">
        <v>0.58939125113382074</v>
      </c>
      <c r="E408" t="s">
        <v>131</v>
      </c>
      <c r="F408" t="s">
        <v>134</v>
      </c>
    </row>
    <row r="409" spans="1:6" outlineLevel="1" x14ac:dyDescent="0.25">
      <c r="A409" t="s">
        <v>92</v>
      </c>
      <c r="B409">
        <v>1423</v>
      </c>
      <c r="C409" s="17">
        <v>4.0000000000000009</v>
      </c>
      <c r="D409" s="17">
        <v>0.58939125113382074</v>
      </c>
      <c r="E409" t="s">
        <v>131</v>
      </c>
      <c r="F409" t="s">
        <v>134</v>
      </c>
    </row>
    <row r="410" spans="1:6" ht="14.25" customHeight="1" outlineLevel="1" x14ac:dyDescent="0.25">
      <c r="A410" t="s">
        <v>93</v>
      </c>
      <c r="B410">
        <v>1424</v>
      </c>
      <c r="C410" s="17">
        <v>0</v>
      </c>
      <c r="D410" s="17">
        <v>0</v>
      </c>
      <c r="E410" t="s">
        <v>131</v>
      </c>
      <c r="F410" t="s">
        <v>134</v>
      </c>
    </row>
    <row r="411" spans="1:6" outlineLevel="1" x14ac:dyDescent="0.25">
      <c r="A411" t="s">
        <v>93</v>
      </c>
      <c r="B411">
        <v>1424</v>
      </c>
      <c r="C411" s="17">
        <v>0.2</v>
      </c>
      <c r="D411" s="17">
        <v>0.33247255882588567</v>
      </c>
      <c r="E411" t="s">
        <v>131</v>
      </c>
      <c r="F411" t="s">
        <v>134</v>
      </c>
    </row>
    <row r="412" spans="1:6" outlineLevel="1" x14ac:dyDescent="0.25">
      <c r="A412" t="s">
        <v>93</v>
      </c>
      <c r="B412">
        <v>1424</v>
      </c>
      <c r="C412" s="17">
        <v>0.4</v>
      </c>
      <c r="D412" s="17">
        <v>0.54183809140140549</v>
      </c>
      <c r="E412" t="s">
        <v>131</v>
      </c>
      <c r="F412" t="s">
        <v>134</v>
      </c>
    </row>
    <row r="413" spans="1:6" outlineLevel="1" x14ac:dyDescent="0.25">
      <c r="A413" t="s">
        <v>93</v>
      </c>
      <c r="B413">
        <v>1424</v>
      </c>
      <c r="C413" s="17">
        <v>0.60000000000000009</v>
      </c>
      <c r="D413" s="17">
        <v>0.62809659772655957</v>
      </c>
      <c r="E413" t="s">
        <v>131</v>
      </c>
      <c r="F413" t="s">
        <v>134</v>
      </c>
    </row>
    <row r="414" spans="1:6" outlineLevel="1" x14ac:dyDescent="0.25">
      <c r="A414" t="s">
        <v>93</v>
      </c>
      <c r="B414">
        <v>1424</v>
      </c>
      <c r="C414" s="17">
        <v>0.8</v>
      </c>
      <c r="D414" s="17">
        <v>0.75539077946850208</v>
      </c>
      <c r="E414" t="s">
        <v>131</v>
      </c>
      <c r="F414" t="s">
        <v>134</v>
      </c>
    </row>
    <row r="415" spans="1:6" outlineLevel="1" x14ac:dyDescent="0.25">
      <c r="A415" t="s">
        <v>93</v>
      </c>
      <c r="B415">
        <v>1424</v>
      </c>
      <c r="C415" s="17">
        <v>1</v>
      </c>
      <c r="D415" s="17">
        <v>0.76641721419621045</v>
      </c>
      <c r="E415" t="s">
        <v>131</v>
      </c>
      <c r="F415" t="s">
        <v>134</v>
      </c>
    </row>
    <row r="416" spans="1:6" outlineLevel="1" x14ac:dyDescent="0.25">
      <c r="A416" t="s">
        <v>93</v>
      </c>
      <c r="B416">
        <v>1424</v>
      </c>
      <c r="C416" s="17">
        <v>1.2</v>
      </c>
      <c r="D416" s="17">
        <v>0.77744364892391871</v>
      </c>
      <c r="E416" t="s">
        <v>131</v>
      </c>
      <c r="F416" t="s">
        <v>134</v>
      </c>
    </row>
    <row r="417" spans="1:6" outlineLevel="1" x14ac:dyDescent="0.25">
      <c r="A417" t="s">
        <v>93</v>
      </c>
      <c r="B417">
        <v>1424</v>
      </c>
      <c r="C417" s="17">
        <v>1.4</v>
      </c>
      <c r="D417" s="17">
        <v>0.79559120798991212</v>
      </c>
      <c r="E417" t="s">
        <v>131</v>
      </c>
      <c r="F417" t="s">
        <v>134</v>
      </c>
    </row>
    <row r="418" spans="1:6" outlineLevel="1" x14ac:dyDescent="0.25">
      <c r="A418" t="s">
        <v>93</v>
      </c>
      <c r="B418">
        <v>1424</v>
      </c>
      <c r="C418" s="17">
        <v>1.5999999999999999</v>
      </c>
      <c r="D418" s="17">
        <v>0.80661764271762015</v>
      </c>
      <c r="E418" t="s">
        <v>131</v>
      </c>
      <c r="F418" t="s">
        <v>134</v>
      </c>
    </row>
    <row r="419" spans="1:6" outlineLevel="1" x14ac:dyDescent="0.25">
      <c r="A419" t="s">
        <v>93</v>
      </c>
      <c r="B419">
        <v>1424</v>
      </c>
      <c r="C419" s="17">
        <v>1.7999999999999998</v>
      </c>
      <c r="D419" s="17">
        <v>0.81764407744532863</v>
      </c>
      <c r="E419" t="s">
        <v>131</v>
      </c>
      <c r="F419" t="s">
        <v>134</v>
      </c>
    </row>
    <row r="420" spans="1:6" outlineLevel="1" x14ac:dyDescent="0.25">
      <c r="A420" t="s">
        <v>93</v>
      </c>
      <c r="B420">
        <v>1424</v>
      </c>
      <c r="C420" s="17">
        <v>1.9999999999999998</v>
      </c>
      <c r="D420" s="17">
        <v>0.82867051217303667</v>
      </c>
      <c r="E420" t="s">
        <v>131</v>
      </c>
      <c r="F420" t="s">
        <v>134</v>
      </c>
    </row>
    <row r="421" spans="1:6" outlineLevel="1" x14ac:dyDescent="0.25">
      <c r="A421" t="s">
        <v>93</v>
      </c>
      <c r="B421">
        <v>1424</v>
      </c>
      <c r="C421" s="17">
        <v>2.1999999999999997</v>
      </c>
      <c r="D421" s="17">
        <v>0.8396969469007447</v>
      </c>
      <c r="E421" t="s">
        <v>131</v>
      </c>
      <c r="F421" t="s">
        <v>134</v>
      </c>
    </row>
    <row r="422" spans="1:6" outlineLevel="1" x14ac:dyDescent="0.25">
      <c r="A422" t="s">
        <v>93</v>
      </c>
      <c r="B422">
        <v>1424</v>
      </c>
      <c r="C422" s="17">
        <v>2.4</v>
      </c>
      <c r="D422" s="17">
        <v>0.87808049857297887</v>
      </c>
      <c r="E422" t="s">
        <v>131</v>
      </c>
      <c r="F422" t="s">
        <v>134</v>
      </c>
    </row>
    <row r="423" spans="1:6" outlineLevel="1" x14ac:dyDescent="0.25">
      <c r="A423" t="s">
        <v>93</v>
      </c>
      <c r="B423">
        <v>1424</v>
      </c>
      <c r="C423" s="17">
        <v>2.6</v>
      </c>
      <c r="D423" s="17">
        <v>0.90374295695414764</v>
      </c>
      <c r="E423" t="s">
        <v>131</v>
      </c>
      <c r="F423" t="s">
        <v>134</v>
      </c>
    </row>
    <row r="424" spans="1:6" outlineLevel="1" x14ac:dyDescent="0.25">
      <c r="A424" t="s">
        <v>93</v>
      </c>
      <c r="B424">
        <v>1424</v>
      </c>
      <c r="C424" s="17">
        <v>2.8000000000000003</v>
      </c>
      <c r="D424" s="17">
        <v>0.90374295695414764</v>
      </c>
      <c r="E424" t="s">
        <v>131</v>
      </c>
      <c r="F424" t="s">
        <v>134</v>
      </c>
    </row>
    <row r="425" spans="1:6" outlineLevel="1" x14ac:dyDescent="0.25">
      <c r="A425" t="s">
        <v>93</v>
      </c>
      <c r="B425">
        <v>1424</v>
      </c>
      <c r="C425" s="17">
        <v>3.0000000000000004</v>
      </c>
      <c r="D425" s="17">
        <v>0.90374295695414764</v>
      </c>
      <c r="E425" t="s">
        <v>131</v>
      </c>
      <c r="F425" t="s">
        <v>134</v>
      </c>
    </row>
    <row r="426" spans="1:6" outlineLevel="1" x14ac:dyDescent="0.25">
      <c r="A426" t="s">
        <v>93</v>
      </c>
      <c r="B426">
        <v>1424</v>
      </c>
      <c r="C426" s="17">
        <v>3.2000000000000006</v>
      </c>
      <c r="D426" s="17">
        <v>0.90374295695414764</v>
      </c>
      <c r="E426" t="s">
        <v>131</v>
      </c>
      <c r="F426" t="s">
        <v>134</v>
      </c>
    </row>
    <row r="427" spans="1:6" outlineLevel="1" x14ac:dyDescent="0.25">
      <c r="A427" t="s">
        <v>93</v>
      </c>
      <c r="B427">
        <v>1424</v>
      </c>
      <c r="C427" s="17">
        <v>3.4000000000000008</v>
      </c>
      <c r="D427" s="17">
        <v>0.90374295695414764</v>
      </c>
      <c r="E427" t="s">
        <v>131</v>
      </c>
      <c r="F427" t="s">
        <v>134</v>
      </c>
    </row>
    <row r="428" spans="1:6" outlineLevel="1" x14ac:dyDescent="0.25">
      <c r="A428" t="s">
        <v>93</v>
      </c>
      <c r="B428">
        <v>1424</v>
      </c>
      <c r="C428" s="17">
        <v>3.600000000000001</v>
      </c>
      <c r="D428" s="17">
        <v>0.90374295695414764</v>
      </c>
      <c r="E428" t="s">
        <v>131</v>
      </c>
      <c r="F428" t="s">
        <v>134</v>
      </c>
    </row>
    <row r="429" spans="1:6" ht="15.75" customHeight="1" outlineLevel="1" x14ac:dyDescent="0.25">
      <c r="A429" t="s">
        <v>93</v>
      </c>
      <c r="B429">
        <v>1424</v>
      </c>
      <c r="C429" s="17">
        <v>3.8000000000000012</v>
      </c>
      <c r="D429" s="17">
        <v>0.90374295695414764</v>
      </c>
      <c r="E429" t="s">
        <v>131</v>
      </c>
      <c r="F429" t="s">
        <v>134</v>
      </c>
    </row>
    <row r="430" spans="1:6" outlineLevel="1" x14ac:dyDescent="0.25">
      <c r="A430" t="s">
        <v>93</v>
      </c>
      <c r="B430">
        <v>1424</v>
      </c>
      <c r="C430" s="17">
        <v>4.0000000000000009</v>
      </c>
      <c r="D430" s="17">
        <v>0.90374295695414764</v>
      </c>
      <c r="E430" t="s">
        <v>131</v>
      </c>
      <c r="F430" t="s">
        <v>134</v>
      </c>
    </row>
    <row r="431" spans="1:6" ht="14.25" customHeight="1" outlineLevel="1" x14ac:dyDescent="0.25">
      <c r="A431" t="s">
        <v>94</v>
      </c>
      <c r="B431">
        <v>1425</v>
      </c>
      <c r="C431" s="17">
        <v>0</v>
      </c>
      <c r="D431" s="17">
        <v>0</v>
      </c>
      <c r="E431" t="s">
        <v>131</v>
      </c>
      <c r="F431" t="s">
        <v>134</v>
      </c>
    </row>
    <row r="432" spans="1:6" outlineLevel="1" x14ac:dyDescent="0.25">
      <c r="A432" t="s">
        <v>94</v>
      </c>
      <c r="B432">
        <v>1425</v>
      </c>
      <c r="C432" s="17">
        <v>0.2</v>
      </c>
      <c r="D432" s="17">
        <v>6.3788749865844097E-2</v>
      </c>
      <c r="E432" t="s">
        <v>131</v>
      </c>
      <c r="F432" t="s">
        <v>134</v>
      </c>
    </row>
    <row r="433" spans="1:6" outlineLevel="1" x14ac:dyDescent="0.25">
      <c r="A433" t="s">
        <v>94</v>
      </c>
      <c r="B433">
        <v>1425</v>
      </c>
      <c r="C433" s="17">
        <v>0.4</v>
      </c>
      <c r="D433" s="17">
        <v>0.12757749973168819</v>
      </c>
      <c r="E433" t="s">
        <v>131</v>
      </c>
      <c r="F433" t="s">
        <v>134</v>
      </c>
    </row>
    <row r="434" spans="1:6" outlineLevel="1" x14ac:dyDescent="0.25">
      <c r="A434" t="s">
        <v>94</v>
      </c>
      <c r="B434">
        <v>1425</v>
      </c>
      <c r="C434" s="17">
        <v>0.60000000000000009</v>
      </c>
      <c r="D434" s="17">
        <v>0.1646058188388777</v>
      </c>
      <c r="E434" t="s">
        <v>131</v>
      </c>
      <c r="F434" t="s">
        <v>134</v>
      </c>
    </row>
    <row r="435" spans="1:6" outlineLevel="1" x14ac:dyDescent="0.25">
      <c r="A435" t="s">
        <v>94</v>
      </c>
      <c r="B435">
        <v>1425</v>
      </c>
      <c r="C435" s="17">
        <v>0.8</v>
      </c>
      <c r="D435" s="17">
        <v>0.21055428153228539</v>
      </c>
      <c r="E435" t="s">
        <v>131</v>
      </c>
      <c r="F435" t="s">
        <v>134</v>
      </c>
    </row>
    <row r="436" spans="1:6" outlineLevel="1" x14ac:dyDescent="0.25">
      <c r="A436" t="s">
        <v>94</v>
      </c>
      <c r="B436">
        <v>1425</v>
      </c>
      <c r="C436" s="17">
        <v>1</v>
      </c>
      <c r="D436" s="17">
        <v>0.23122900406474156</v>
      </c>
      <c r="E436" t="s">
        <v>131</v>
      </c>
      <c r="F436" t="s">
        <v>134</v>
      </c>
    </row>
    <row r="437" spans="1:6" outlineLevel="1" x14ac:dyDescent="0.25">
      <c r="A437" t="s">
        <v>94</v>
      </c>
      <c r="B437">
        <v>1425</v>
      </c>
      <c r="C437" s="17">
        <v>1.2</v>
      </c>
      <c r="D437" s="17">
        <v>0.25190372659719773</v>
      </c>
      <c r="E437" t="s">
        <v>131</v>
      </c>
      <c r="F437" t="s">
        <v>134</v>
      </c>
    </row>
    <row r="438" spans="1:6" outlineLevel="1" x14ac:dyDescent="0.25">
      <c r="A438" t="s">
        <v>94</v>
      </c>
      <c r="B438">
        <v>1425</v>
      </c>
      <c r="C438" s="17">
        <v>1.4</v>
      </c>
      <c r="D438" s="17">
        <v>0.30521166790770943</v>
      </c>
      <c r="E438" t="s">
        <v>131</v>
      </c>
      <c r="F438" t="s">
        <v>134</v>
      </c>
    </row>
    <row r="439" spans="1:6" outlineLevel="1" x14ac:dyDescent="0.25">
      <c r="A439" t="s">
        <v>94</v>
      </c>
      <c r="B439">
        <v>1425</v>
      </c>
      <c r="C439" s="17">
        <v>1.5999999999999999</v>
      </c>
      <c r="D439" s="17">
        <v>0.3258863904401656</v>
      </c>
      <c r="E439" t="s">
        <v>131</v>
      </c>
      <c r="F439" t="s">
        <v>134</v>
      </c>
    </row>
    <row r="440" spans="1:6" outlineLevel="1" x14ac:dyDescent="0.25">
      <c r="A440" t="s">
        <v>94</v>
      </c>
      <c r="B440">
        <v>1425</v>
      </c>
      <c r="C440" s="17">
        <v>1.7999999999999998</v>
      </c>
      <c r="D440" s="17">
        <v>0.34656111297262177</v>
      </c>
      <c r="E440" t="s">
        <v>131</v>
      </c>
      <c r="F440" t="s">
        <v>134</v>
      </c>
    </row>
    <row r="441" spans="1:6" outlineLevel="1" x14ac:dyDescent="0.25">
      <c r="A441" t="s">
        <v>94</v>
      </c>
      <c r="B441">
        <v>1425</v>
      </c>
      <c r="C441" s="17">
        <v>1.9999999999999998</v>
      </c>
      <c r="D441" s="17">
        <v>0.36723583550507782</v>
      </c>
      <c r="E441" t="s">
        <v>131</v>
      </c>
      <c r="F441" t="s">
        <v>134</v>
      </c>
    </row>
    <row r="442" spans="1:6" outlineLevel="1" x14ac:dyDescent="0.25">
      <c r="A442" t="s">
        <v>94</v>
      </c>
      <c r="B442">
        <v>1425</v>
      </c>
      <c r="C442" s="17">
        <v>2.1999999999999997</v>
      </c>
      <c r="D442" s="17">
        <v>0.38791055803753399</v>
      </c>
      <c r="E442" t="s">
        <v>131</v>
      </c>
      <c r="F442" t="s">
        <v>134</v>
      </c>
    </row>
    <row r="443" spans="1:6" outlineLevel="1" x14ac:dyDescent="0.25">
      <c r="A443" t="s">
        <v>94</v>
      </c>
      <c r="B443">
        <v>1425</v>
      </c>
      <c r="C443" s="17">
        <v>2.4</v>
      </c>
      <c r="D443" s="17">
        <v>0.44129247371945685</v>
      </c>
      <c r="E443" t="s">
        <v>131</v>
      </c>
      <c r="F443" t="s">
        <v>134</v>
      </c>
    </row>
    <row r="444" spans="1:6" outlineLevel="1" x14ac:dyDescent="0.25">
      <c r="A444" t="s">
        <v>94</v>
      </c>
      <c r="B444">
        <v>1425</v>
      </c>
      <c r="C444" s="17">
        <v>2.6</v>
      </c>
      <c r="D444" s="17">
        <v>0.55889309111537544</v>
      </c>
      <c r="E444" t="s">
        <v>131</v>
      </c>
      <c r="F444" t="s">
        <v>134</v>
      </c>
    </row>
    <row r="445" spans="1:6" outlineLevel="1" x14ac:dyDescent="0.25">
      <c r="A445" t="s">
        <v>94</v>
      </c>
      <c r="B445">
        <v>1425</v>
      </c>
      <c r="C445" s="17">
        <v>2.8000000000000003</v>
      </c>
      <c r="D445" s="17">
        <v>0.55889309111537544</v>
      </c>
      <c r="E445" t="s">
        <v>131</v>
      </c>
      <c r="F445" t="s">
        <v>134</v>
      </c>
    </row>
    <row r="446" spans="1:6" outlineLevel="1" x14ac:dyDescent="0.25">
      <c r="A446" t="s">
        <v>94</v>
      </c>
      <c r="B446">
        <v>1425</v>
      </c>
      <c r="C446" s="17">
        <v>3.0000000000000004</v>
      </c>
      <c r="D446" s="17">
        <v>0.55889309111537544</v>
      </c>
      <c r="E446" t="s">
        <v>131</v>
      </c>
      <c r="F446" t="s">
        <v>134</v>
      </c>
    </row>
    <row r="447" spans="1:6" outlineLevel="1" x14ac:dyDescent="0.25">
      <c r="A447" t="s">
        <v>94</v>
      </c>
      <c r="B447">
        <v>1425</v>
      </c>
      <c r="C447" s="17">
        <v>3.2000000000000006</v>
      </c>
      <c r="D447" s="17">
        <v>0.55889309111537544</v>
      </c>
      <c r="E447" t="s">
        <v>131</v>
      </c>
      <c r="F447" t="s">
        <v>134</v>
      </c>
    </row>
    <row r="448" spans="1:6" outlineLevel="1" x14ac:dyDescent="0.25">
      <c r="A448" t="s">
        <v>94</v>
      </c>
      <c r="B448">
        <v>1425</v>
      </c>
      <c r="C448" s="17">
        <v>3.4000000000000008</v>
      </c>
      <c r="D448" s="17">
        <v>0.55889309111537544</v>
      </c>
      <c r="E448" t="s">
        <v>131</v>
      </c>
      <c r="F448" t="s">
        <v>134</v>
      </c>
    </row>
    <row r="449" spans="1:6" outlineLevel="1" x14ac:dyDescent="0.25">
      <c r="A449" t="s">
        <v>94</v>
      </c>
      <c r="B449">
        <v>1425</v>
      </c>
      <c r="C449" s="17">
        <v>3.600000000000001</v>
      </c>
      <c r="D449" s="17">
        <v>0.55889309111537544</v>
      </c>
      <c r="E449" t="s">
        <v>131</v>
      </c>
      <c r="F449" t="s">
        <v>134</v>
      </c>
    </row>
    <row r="450" spans="1:6" ht="15.75" customHeight="1" outlineLevel="1" x14ac:dyDescent="0.25">
      <c r="A450" t="s">
        <v>94</v>
      </c>
      <c r="B450">
        <v>1425</v>
      </c>
      <c r="C450" s="17">
        <v>3.8000000000000012</v>
      </c>
      <c r="D450" s="17">
        <v>0.55889309111537544</v>
      </c>
      <c r="E450" t="s">
        <v>131</v>
      </c>
      <c r="F450" t="s">
        <v>134</v>
      </c>
    </row>
    <row r="451" spans="1:6" outlineLevel="1" x14ac:dyDescent="0.25">
      <c r="A451" t="s">
        <v>94</v>
      </c>
      <c r="B451">
        <v>1425</v>
      </c>
      <c r="C451" s="17">
        <v>4.0000000000000009</v>
      </c>
      <c r="D451" s="17">
        <v>0.55889309111537544</v>
      </c>
      <c r="E451" t="s">
        <v>131</v>
      </c>
      <c r="F451" t="s">
        <v>134</v>
      </c>
    </row>
    <row r="452" spans="1:6" ht="14.25" customHeight="1" outlineLevel="1" x14ac:dyDescent="0.25">
      <c r="A452" t="s">
        <v>95</v>
      </c>
      <c r="B452">
        <v>1430</v>
      </c>
      <c r="C452" s="17">
        <v>0</v>
      </c>
      <c r="D452" s="17">
        <v>0</v>
      </c>
      <c r="E452" t="s">
        <v>131</v>
      </c>
      <c r="F452" t="s">
        <v>134</v>
      </c>
    </row>
    <row r="453" spans="1:6" outlineLevel="1" x14ac:dyDescent="0.25">
      <c r="A453" t="s">
        <v>95</v>
      </c>
      <c r="B453">
        <v>1430</v>
      </c>
      <c r="C453" s="17">
        <v>0.2</v>
      </c>
      <c r="D453" s="17">
        <v>5.2021842571945288E-2</v>
      </c>
      <c r="E453" t="s">
        <v>131</v>
      </c>
      <c r="F453" t="s">
        <v>134</v>
      </c>
    </row>
    <row r="454" spans="1:6" outlineLevel="1" x14ac:dyDescent="0.25">
      <c r="A454" t="s">
        <v>95</v>
      </c>
      <c r="B454">
        <v>1430</v>
      </c>
      <c r="C454" s="17">
        <v>0.4</v>
      </c>
      <c r="D454" s="17">
        <v>0.10404368514389058</v>
      </c>
      <c r="E454" t="s">
        <v>131</v>
      </c>
      <c r="F454" t="s">
        <v>134</v>
      </c>
    </row>
    <row r="455" spans="1:6" outlineLevel="1" x14ac:dyDescent="0.25">
      <c r="A455" t="s">
        <v>95</v>
      </c>
      <c r="B455">
        <v>1430</v>
      </c>
      <c r="C455" s="17">
        <v>0.60000000000000009</v>
      </c>
      <c r="D455" s="17">
        <v>0.15606552771583587</v>
      </c>
      <c r="E455" t="s">
        <v>131</v>
      </c>
      <c r="F455" t="s">
        <v>134</v>
      </c>
    </row>
    <row r="456" spans="1:6" outlineLevel="1" x14ac:dyDescent="0.25">
      <c r="A456" t="s">
        <v>95</v>
      </c>
      <c r="B456">
        <v>1430</v>
      </c>
      <c r="C456" s="17">
        <v>0.8</v>
      </c>
      <c r="D456" s="17">
        <v>0.20808737028778115</v>
      </c>
      <c r="E456" t="s">
        <v>131</v>
      </c>
      <c r="F456" t="s">
        <v>134</v>
      </c>
    </row>
    <row r="457" spans="1:6" outlineLevel="1" x14ac:dyDescent="0.25">
      <c r="A457" t="s">
        <v>95</v>
      </c>
      <c r="B457">
        <v>1430</v>
      </c>
      <c r="C457" s="17">
        <v>1</v>
      </c>
      <c r="D457" s="17">
        <v>0.26010921285972649</v>
      </c>
      <c r="E457" t="s">
        <v>131</v>
      </c>
      <c r="F457" t="s">
        <v>134</v>
      </c>
    </row>
    <row r="458" spans="1:6" outlineLevel="1" x14ac:dyDescent="0.25">
      <c r="A458" t="s">
        <v>95</v>
      </c>
      <c r="B458">
        <v>1430</v>
      </c>
      <c r="C458" s="17">
        <v>1.2</v>
      </c>
      <c r="D458" s="17">
        <v>0.31213105543167174</v>
      </c>
      <c r="E458" t="s">
        <v>131</v>
      </c>
      <c r="F458" t="s">
        <v>134</v>
      </c>
    </row>
    <row r="459" spans="1:6" outlineLevel="1" x14ac:dyDescent="0.25">
      <c r="A459" t="s">
        <v>95</v>
      </c>
      <c r="B459">
        <v>1430</v>
      </c>
      <c r="C459" s="17">
        <v>1.4</v>
      </c>
      <c r="D459" s="17">
        <v>0.36415289800361705</v>
      </c>
      <c r="E459" t="s">
        <v>131</v>
      </c>
      <c r="F459" t="s">
        <v>134</v>
      </c>
    </row>
    <row r="460" spans="1:6" outlineLevel="1" x14ac:dyDescent="0.25">
      <c r="A460" t="s">
        <v>95</v>
      </c>
      <c r="B460">
        <v>1430</v>
      </c>
      <c r="C460" s="17">
        <v>1.5999999999999999</v>
      </c>
      <c r="D460" s="17">
        <v>0.41617474057556231</v>
      </c>
      <c r="E460" t="s">
        <v>131</v>
      </c>
      <c r="F460" t="s">
        <v>134</v>
      </c>
    </row>
    <row r="461" spans="1:6" outlineLevel="1" x14ac:dyDescent="0.25">
      <c r="A461" t="s">
        <v>95</v>
      </c>
      <c r="B461">
        <v>1430</v>
      </c>
      <c r="C461" s="17">
        <v>1.7999999999999998</v>
      </c>
      <c r="D461" s="17">
        <v>0.46819658314750767</v>
      </c>
      <c r="E461" t="s">
        <v>131</v>
      </c>
      <c r="F461" t="s">
        <v>134</v>
      </c>
    </row>
    <row r="462" spans="1:6" outlineLevel="1" x14ac:dyDescent="0.25">
      <c r="A462" t="s">
        <v>95</v>
      </c>
      <c r="B462">
        <v>1430</v>
      </c>
      <c r="C462" s="17">
        <v>1.9999999999999998</v>
      </c>
      <c r="D462" s="17">
        <v>0.52021842571945298</v>
      </c>
      <c r="E462" t="s">
        <v>131</v>
      </c>
      <c r="F462" t="s">
        <v>134</v>
      </c>
    </row>
    <row r="463" spans="1:6" outlineLevel="1" x14ac:dyDescent="0.25">
      <c r="A463" t="s">
        <v>95</v>
      </c>
      <c r="B463">
        <v>1430</v>
      </c>
      <c r="C463" s="17">
        <v>2.1999999999999997</v>
      </c>
      <c r="D463" s="17">
        <v>0.57224026829139818</v>
      </c>
      <c r="E463" t="s">
        <v>131</v>
      </c>
      <c r="F463" t="s">
        <v>134</v>
      </c>
    </row>
    <row r="464" spans="1:6" outlineLevel="1" x14ac:dyDescent="0.25">
      <c r="A464" t="s">
        <v>95</v>
      </c>
      <c r="B464">
        <v>1430</v>
      </c>
      <c r="C464" s="17">
        <v>2.4</v>
      </c>
      <c r="D464" s="17">
        <v>0.62426211086334349</v>
      </c>
      <c r="E464" t="s">
        <v>131</v>
      </c>
      <c r="F464" t="s">
        <v>134</v>
      </c>
    </row>
    <row r="465" spans="1:6" outlineLevel="1" x14ac:dyDescent="0.25">
      <c r="A465" t="s">
        <v>95</v>
      </c>
      <c r="B465">
        <v>1430</v>
      </c>
      <c r="C465" s="17">
        <v>2.6</v>
      </c>
      <c r="D465" s="17">
        <v>0.97233508331431184</v>
      </c>
      <c r="E465" t="s">
        <v>131</v>
      </c>
      <c r="F465" t="s">
        <v>134</v>
      </c>
    </row>
    <row r="466" spans="1:6" outlineLevel="1" x14ac:dyDescent="0.25">
      <c r="A466" t="s">
        <v>95</v>
      </c>
      <c r="B466">
        <v>1430</v>
      </c>
      <c r="C466" s="17">
        <v>2.8000000000000003</v>
      </c>
      <c r="D466" s="17">
        <v>0.97233508331431184</v>
      </c>
      <c r="E466" t="s">
        <v>131</v>
      </c>
      <c r="F466" t="s">
        <v>134</v>
      </c>
    </row>
    <row r="467" spans="1:6" outlineLevel="1" x14ac:dyDescent="0.25">
      <c r="A467" t="s">
        <v>95</v>
      </c>
      <c r="B467">
        <v>1430</v>
      </c>
      <c r="C467" s="17">
        <v>3.0000000000000004</v>
      </c>
      <c r="D467" s="17">
        <v>0.97233508331431184</v>
      </c>
      <c r="E467" t="s">
        <v>131</v>
      </c>
      <c r="F467" t="s">
        <v>134</v>
      </c>
    </row>
    <row r="468" spans="1:6" outlineLevel="1" x14ac:dyDescent="0.25">
      <c r="A468" t="s">
        <v>95</v>
      </c>
      <c r="B468">
        <v>1430</v>
      </c>
      <c r="C468" s="17">
        <v>3.2000000000000006</v>
      </c>
      <c r="D468" s="17">
        <v>0.97233508331431184</v>
      </c>
      <c r="E468" t="s">
        <v>131</v>
      </c>
      <c r="F468" t="s">
        <v>134</v>
      </c>
    </row>
    <row r="469" spans="1:6" outlineLevel="1" x14ac:dyDescent="0.25">
      <c r="A469" t="s">
        <v>95</v>
      </c>
      <c r="B469">
        <v>1430</v>
      </c>
      <c r="C469" s="17">
        <v>3.4000000000000008</v>
      </c>
      <c r="D469" s="17">
        <v>0.97233508331431184</v>
      </c>
      <c r="E469" t="s">
        <v>131</v>
      </c>
      <c r="F469" t="s">
        <v>134</v>
      </c>
    </row>
    <row r="470" spans="1:6" outlineLevel="1" x14ac:dyDescent="0.25">
      <c r="A470" t="s">
        <v>95</v>
      </c>
      <c r="B470">
        <v>1430</v>
      </c>
      <c r="C470" s="17">
        <v>3.600000000000001</v>
      </c>
      <c r="D470" s="17">
        <v>0.97233508331431184</v>
      </c>
      <c r="E470" t="s">
        <v>131</v>
      </c>
      <c r="F470" t="s">
        <v>134</v>
      </c>
    </row>
    <row r="471" spans="1:6" outlineLevel="1" x14ac:dyDescent="0.25">
      <c r="A471" t="s">
        <v>95</v>
      </c>
      <c r="B471">
        <v>1430</v>
      </c>
      <c r="C471" s="17">
        <v>3.8000000000000012</v>
      </c>
      <c r="D471" s="17">
        <v>0.97233508331431184</v>
      </c>
      <c r="E471" t="s">
        <v>131</v>
      </c>
      <c r="F471" t="s">
        <v>134</v>
      </c>
    </row>
    <row r="472" spans="1:6" outlineLevel="1" x14ac:dyDescent="0.25">
      <c r="A472" t="s">
        <v>95</v>
      </c>
      <c r="B472">
        <v>1430</v>
      </c>
      <c r="C472" s="17">
        <v>4.0000000000000009</v>
      </c>
      <c r="D472" s="17">
        <v>0.97233508331431184</v>
      </c>
      <c r="E472" t="s">
        <v>131</v>
      </c>
      <c r="F472" t="s">
        <v>134</v>
      </c>
    </row>
    <row r="473" spans="1:6" ht="14.25" customHeight="1" outlineLevel="1" x14ac:dyDescent="0.25">
      <c r="A473" t="s">
        <v>96</v>
      </c>
      <c r="B473">
        <v>1431</v>
      </c>
      <c r="C473" s="17">
        <v>0</v>
      </c>
      <c r="D473" s="17">
        <v>0</v>
      </c>
      <c r="E473" t="s">
        <v>131</v>
      </c>
      <c r="F473" t="s">
        <v>134</v>
      </c>
    </row>
    <row r="474" spans="1:6" outlineLevel="1" x14ac:dyDescent="0.25">
      <c r="A474" t="s">
        <v>96</v>
      </c>
      <c r="B474">
        <v>1431</v>
      </c>
      <c r="C474" s="17">
        <v>0.2</v>
      </c>
      <c r="D474" s="17">
        <v>7.566536325531116E-2</v>
      </c>
      <c r="E474" t="s">
        <v>131</v>
      </c>
      <c r="F474" t="s">
        <v>134</v>
      </c>
    </row>
    <row r="475" spans="1:6" outlineLevel="1" x14ac:dyDescent="0.25">
      <c r="A475" t="s">
        <v>96</v>
      </c>
      <c r="B475">
        <v>1431</v>
      </c>
      <c r="C475" s="17">
        <v>0.4</v>
      </c>
      <c r="D475" s="17">
        <v>0.15133072651062232</v>
      </c>
      <c r="E475" t="s">
        <v>131</v>
      </c>
      <c r="F475" t="s">
        <v>134</v>
      </c>
    </row>
    <row r="476" spans="1:6" outlineLevel="1" x14ac:dyDescent="0.25">
      <c r="A476" t="s">
        <v>96</v>
      </c>
      <c r="B476">
        <v>1431</v>
      </c>
      <c r="C476" s="17">
        <v>0.60000000000000009</v>
      </c>
      <c r="D476" s="17">
        <v>0.20908235550060836</v>
      </c>
      <c r="E476" t="s">
        <v>131</v>
      </c>
      <c r="F476" t="s">
        <v>134</v>
      </c>
    </row>
    <row r="477" spans="1:6" outlineLevel="1" x14ac:dyDescent="0.25">
      <c r="A477" t="s">
        <v>96</v>
      </c>
      <c r="B477">
        <v>1431</v>
      </c>
      <c r="C477" s="17">
        <v>0.8</v>
      </c>
      <c r="D477" s="17">
        <v>0.27280522924570272</v>
      </c>
      <c r="E477" t="s">
        <v>131</v>
      </c>
      <c r="F477" t="s">
        <v>134</v>
      </c>
    </row>
    <row r="478" spans="1:6" outlineLevel="1" x14ac:dyDescent="0.25">
      <c r="A478" t="s">
        <v>96</v>
      </c>
      <c r="B478">
        <v>1431</v>
      </c>
      <c r="C478" s="17">
        <v>1</v>
      </c>
      <c r="D478" s="17">
        <v>0.31960957618465674</v>
      </c>
      <c r="E478" t="s">
        <v>131</v>
      </c>
      <c r="F478" t="s">
        <v>134</v>
      </c>
    </row>
    <row r="479" spans="1:6" outlineLevel="1" x14ac:dyDescent="0.25">
      <c r="A479" t="s">
        <v>96</v>
      </c>
      <c r="B479">
        <v>1431</v>
      </c>
      <c r="C479" s="17">
        <v>1.2</v>
      </c>
      <c r="D479" s="17">
        <v>0.36641392312361076</v>
      </c>
      <c r="E479" t="s">
        <v>131</v>
      </c>
      <c r="F479" t="s">
        <v>134</v>
      </c>
    </row>
    <row r="480" spans="1:6" outlineLevel="1" x14ac:dyDescent="0.25">
      <c r="A480" t="s">
        <v>96</v>
      </c>
      <c r="B480">
        <v>1431</v>
      </c>
      <c r="C480" s="17">
        <v>1.4</v>
      </c>
      <c r="D480" s="17">
        <v>0.41321827006256473</v>
      </c>
      <c r="E480" t="s">
        <v>131</v>
      </c>
      <c r="F480" t="s">
        <v>134</v>
      </c>
    </row>
    <row r="481" spans="1:6" outlineLevel="1" x14ac:dyDescent="0.25">
      <c r="A481" t="s">
        <v>96</v>
      </c>
      <c r="B481">
        <v>1431</v>
      </c>
      <c r="C481" s="17">
        <v>1.5999999999999999</v>
      </c>
      <c r="D481" s="17">
        <v>0.4600226170015187</v>
      </c>
      <c r="E481" t="s">
        <v>131</v>
      </c>
      <c r="F481" t="s">
        <v>134</v>
      </c>
    </row>
    <row r="482" spans="1:6" outlineLevel="1" x14ac:dyDescent="0.25">
      <c r="A482" t="s">
        <v>96</v>
      </c>
      <c r="B482">
        <v>1431</v>
      </c>
      <c r="C482" s="17">
        <v>1.7999999999999998</v>
      </c>
      <c r="D482" s="17">
        <v>0.50682696394047277</v>
      </c>
      <c r="E482" t="s">
        <v>131</v>
      </c>
      <c r="F482" t="s">
        <v>134</v>
      </c>
    </row>
    <row r="483" spans="1:6" outlineLevel="1" x14ac:dyDescent="0.25">
      <c r="A483" t="s">
        <v>96</v>
      </c>
      <c r="B483">
        <v>1431</v>
      </c>
      <c r="C483" s="17">
        <v>1.9999999999999998</v>
      </c>
      <c r="D483" s="17">
        <v>0.55363131087942663</v>
      </c>
      <c r="E483" t="s">
        <v>131</v>
      </c>
      <c r="F483" t="s">
        <v>134</v>
      </c>
    </row>
    <row r="484" spans="1:6" outlineLevel="1" x14ac:dyDescent="0.25">
      <c r="A484" t="s">
        <v>96</v>
      </c>
      <c r="B484">
        <v>1431</v>
      </c>
      <c r="C484" s="17">
        <v>2.1999999999999997</v>
      </c>
      <c r="D484" s="17">
        <v>0.60043565781838049</v>
      </c>
      <c r="E484" t="s">
        <v>131</v>
      </c>
      <c r="F484" t="s">
        <v>134</v>
      </c>
    </row>
    <row r="485" spans="1:6" outlineLevel="1" x14ac:dyDescent="0.25">
      <c r="A485" t="s">
        <v>96</v>
      </c>
      <c r="B485">
        <v>1431</v>
      </c>
      <c r="C485" s="17">
        <v>2.4</v>
      </c>
      <c r="D485" s="17">
        <v>0.66913456885939859</v>
      </c>
      <c r="E485" t="s">
        <v>131</v>
      </c>
      <c r="F485" t="s">
        <v>134</v>
      </c>
    </row>
    <row r="486" spans="1:6" outlineLevel="1" x14ac:dyDescent="0.25">
      <c r="A486" t="s">
        <v>96</v>
      </c>
      <c r="B486">
        <v>1431</v>
      </c>
      <c r="C486" s="17">
        <v>2.6</v>
      </c>
      <c r="D486" s="17">
        <v>0.97563896308751041</v>
      </c>
      <c r="E486" t="s">
        <v>131</v>
      </c>
      <c r="F486" t="s">
        <v>134</v>
      </c>
    </row>
    <row r="487" spans="1:6" outlineLevel="1" x14ac:dyDescent="0.25">
      <c r="A487" t="s">
        <v>96</v>
      </c>
      <c r="B487">
        <v>1431</v>
      </c>
      <c r="C487" s="17">
        <v>2.8000000000000003</v>
      </c>
      <c r="D487" s="17">
        <v>0.97563896308751041</v>
      </c>
      <c r="E487" t="s">
        <v>131</v>
      </c>
      <c r="F487" t="s">
        <v>134</v>
      </c>
    </row>
    <row r="488" spans="1:6" outlineLevel="1" x14ac:dyDescent="0.25">
      <c r="A488" t="s">
        <v>96</v>
      </c>
      <c r="B488">
        <v>1431</v>
      </c>
      <c r="C488" s="17">
        <v>3.0000000000000004</v>
      </c>
      <c r="D488" s="17">
        <v>0.97563896308751041</v>
      </c>
      <c r="E488" t="s">
        <v>131</v>
      </c>
      <c r="F488" t="s">
        <v>134</v>
      </c>
    </row>
    <row r="489" spans="1:6" outlineLevel="1" x14ac:dyDescent="0.25">
      <c r="A489" t="s">
        <v>96</v>
      </c>
      <c r="B489">
        <v>1431</v>
      </c>
      <c r="C489" s="17">
        <v>3.2000000000000006</v>
      </c>
      <c r="D489" s="17">
        <v>0.97563896308751041</v>
      </c>
      <c r="E489" t="s">
        <v>131</v>
      </c>
      <c r="F489" t="s">
        <v>134</v>
      </c>
    </row>
    <row r="490" spans="1:6" outlineLevel="1" x14ac:dyDescent="0.25">
      <c r="A490" t="s">
        <v>96</v>
      </c>
      <c r="B490">
        <v>1431</v>
      </c>
      <c r="C490" s="17">
        <v>3.4000000000000008</v>
      </c>
      <c r="D490" s="17">
        <v>0.97563896308751041</v>
      </c>
      <c r="E490" t="s">
        <v>131</v>
      </c>
      <c r="F490" t="s">
        <v>134</v>
      </c>
    </row>
    <row r="491" spans="1:6" outlineLevel="1" x14ac:dyDescent="0.25">
      <c r="A491" t="s">
        <v>96</v>
      </c>
      <c r="B491">
        <v>1431</v>
      </c>
      <c r="C491" s="17">
        <v>3.600000000000001</v>
      </c>
      <c r="D491" s="17">
        <v>0.97563896308751041</v>
      </c>
      <c r="E491" t="s">
        <v>131</v>
      </c>
      <c r="F491" t="s">
        <v>134</v>
      </c>
    </row>
    <row r="492" spans="1:6" ht="15.75" customHeight="1" outlineLevel="1" x14ac:dyDescent="0.25">
      <c r="A492" t="s">
        <v>96</v>
      </c>
      <c r="B492">
        <v>1431</v>
      </c>
      <c r="C492" s="17">
        <v>3.8000000000000012</v>
      </c>
      <c r="D492" s="17">
        <v>0.97563896308751041</v>
      </c>
      <c r="E492" t="s">
        <v>131</v>
      </c>
      <c r="F492" t="s">
        <v>134</v>
      </c>
    </row>
    <row r="493" spans="1:6" outlineLevel="1" x14ac:dyDescent="0.25">
      <c r="A493" t="s">
        <v>96</v>
      </c>
      <c r="B493">
        <v>1431</v>
      </c>
      <c r="C493" s="17">
        <v>4.0000000000000009</v>
      </c>
      <c r="D493" s="17">
        <v>0.97563896308751041</v>
      </c>
      <c r="E493" t="s">
        <v>131</v>
      </c>
      <c r="F493" t="s">
        <v>134</v>
      </c>
    </row>
    <row r="494" spans="1:6" ht="14.25" customHeight="1" outlineLevel="1" x14ac:dyDescent="0.25">
      <c r="A494" t="s">
        <v>97</v>
      </c>
      <c r="B494">
        <v>1432</v>
      </c>
      <c r="C494" s="17">
        <v>0</v>
      </c>
      <c r="D494" s="17">
        <v>0</v>
      </c>
      <c r="E494" t="s">
        <v>131</v>
      </c>
      <c r="F494" t="s">
        <v>134</v>
      </c>
    </row>
    <row r="495" spans="1:6" outlineLevel="1" x14ac:dyDescent="0.25">
      <c r="A495" t="s">
        <v>97</v>
      </c>
      <c r="B495">
        <v>1432</v>
      </c>
      <c r="C495" s="17">
        <v>0.2</v>
      </c>
      <c r="D495" s="17">
        <v>0.11465876305708773</v>
      </c>
      <c r="E495" t="s">
        <v>131</v>
      </c>
      <c r="F495" t="s">
        <v>134</v>
      </c>
    </row>
    <row r="496" spans="1:6" outlineLevel="1" x14ac:dyDescent="0.25">
      <c r="A496" t="s">
        <v>97</v>
      </c>
      <c r="B496">
        <v>1432</v>
      </c>
      <c r="C496" s="17">
        <v>0.4</v>
      </c>
      <c r="D496" s="17">
        <v>0.20829688452561676</v>
      </c>
      <c r="E496" t="s">
        <v>131</v>
      </c>
      <c r="F496" t="s">
        <v>134</v>
      </c>
    </row>
    <row r="497" spans="1:6" outlineLevel="1" x14ac:dyDescent="0.25">
      <c r="A497" t="s">
        <v>97</v>
      </c>
      <c r="B497">
        <v>1432</v>
      </c>
      <c r="C497" s="17">
        <v>0.60000000000000009</v>
      </c>
      <c r="D497" s="17">
        <v>0.27040404361130793</v>
      </c>
      <c r="E497" t="s">
        <v>131</v>
      </c>
      <c r="F497" t="s">
        <v>134</v>
      </c>
    </row>
    <row r="498" spans="1:6" outlineLevel="1" x14ac:dyDescent="0.25">
      <c r="A498" t="s">
        <v>97</v>
      </c>
      <c r="B498">
        <v>1432</v>
      </c>
      <c r="C498" s="17">
        <v>0.8</v>
      </c>
      <c r="D498" s="17">
        <v>0.34302152349127835</v>
      </c>
      <c r="E498" t="s">
        <v>131</v>
      </c>
      <c r="F498" t="s">
        <v>134</v>
      </c>
    </row>
    <row r="499" spans="1:6" outlineLevel="1" x14ac:dyDescent="0.25">
      <c r="A499" t="s">
        <v>97</v>
      </c>
      <c r="B499">
        <v>1432</v>
      </c>
      <c r="C499" s="17">
        <v>1</v>
      </c>
      <c r="D499" s="17">
        <v>0.38585976112079068</v>
      </c>
      <c r="E499" t="s">
        <v>131</v>
      </c>
      <c r="F499" t="s">
        <v>134</v>
      </c>
    </row>
    <row r="500" spans="1:6" outlineLevel="1" x14ac:dyDescent="0.25">
      <c r="A500" t="s">
        <v>97</v>
      </c>
      <c r="B500">
        <v>1432</v>
      </c>
      <c r="C500" s="17">
        <v>1.2</v>
      </c>
      <c r="D500" s="17">
        <v>0.42869799875030307</v>
      </c>
      <c r="E500" t="s">
        <v>131</v>
      </c>
      <c r="F500" t="s">
        <v>134</v>
      </c>
    </row>
    <row r="501" spans="1:6" outlineLevel="1" x14ac:dyDescent="0.25">
      <c r="A501" t="s">
        <v>97</v>
      </c>
      <c r="B501">
        <v>1432</v>
      </c>
      <c r="C501" s="17">
        <v>1.4</v>
      </c>
      <c r="D501" s="17">
        <v>0.47153623637981529</v>
      </c>
      <c r="E501" t="s">
        <v>131</v>
      </c>
      <c r="F501" t="s">
        <v>134</v>
      </c>
    </row>
    <row r="502" spans="1:6" outlineLevel="1" x14ac:dyDescent="0.25">
      <c r="A502" t="s">
        <v>97</v>
      </c>
      <c r="B502">
        <v>1432</v>
      </c>
      <c r="C502" s="17">
        <v>1.5999999999999999</v>
      </c>
      <c r="D502" s="17">
        <v>0.51437447400932768</v>
      </c>
      <c r="E502" t="s">
        <v>131</v>
      </c>
      <c r="F502" t="s">
        <v>134</v>
      </c>
    </row>
    <row r="503" spans="1:6" outlineLevel="1" x14ac:dyDescent="0.25">
      <c r="A503" t="s">
        <v>97</v>
      </c>
      <c r="B503">
        <v>1432</v>
      </c>
      <c r="C503" s="17">
        <v>1.7999999999999998</v>
      </c>
      <c r="D503" s="17">
        <v>0.55721271163884001</v>
      </c>
      <c r="E503" t="s">
        <v>131</v>
      </c>
      <c r="F503" t="s">
        <v>134</v>
      </c>
    </row>
    <row r="504" spans="1:6" outlineLevel="1" x14ac:dyDescent="0.25">
      <c r="A504" t="s">
        <v>97</v>
      </c>
      <c r="B504">
        <v>1432</v>
      </c>
      <c r="C504" s="17">
        <v>1.9999999999999998</v>
      </c>
      <c r="D504" s="17">
        <v>0.60005094926835234</v>
      </c>
      <c r="E504" t="s">
        <v>131</v>
      </c>
      <c r="F504" t="s">
        <v>134</v>
      </c>
    </row>
    <row r="505" spans="1:6" outlineLevel="1" x14ac:dyDescent="0.25">
      <c r="A505" t="s">
        <v>97</v>
      </c>
      <c r="B505">
        <v>1432</v>
      </c>
      <c r="C505" s="17">
        <v>2.1999999999999997</v>
      </c>
      <c r="D505" s="17">
        <v>0.64288918689786478</v>
      </c>
      <c r="E505" t="s">
        <v>131</v>
      </c>
      <c r="F505" t="s">
        <v>134</v>
      </c>
    </row>
    <row r="506" spans="1:6" outlineLevel="1" x14ac:dyDescent="0.25">
      <c r="A506" t="s">
        <v>97</v>
      </c>
      <c r="B506">
        <v>1432</v>
      </c>
      <c r="C506" s="17">
        <v>2.4</v>
      </c>
      <c r="D506" s="17">
        <v>0.70324462585117586</v>
      </c>
      <c r="E506" t="s">
        <v>131</v>
      </c>
      <c r="F506" t="s">
        <v>134</v>
      </c>
    </row>
    <row r="507" spans="1:6" outlineLevel="1" x14ac:dyDescent="0.25">
      <c r="A507" t="s">
        <v>97</v>
      </c>
      <c r="B507">
        <v>1432</v>
      </c>
      <c r="C507" s="17">
        <v>2.6</v>
      </c>
      <c r="D507" s="17">
        <v>0.97815042629658377</v>
      </c>
      <c r="E507" t="s">
        <v>131</v>
      </c>
      <c r="F507" t="s">
        <v>134</v>
      </c>
    </row>
    <row r="508" spans="1:6" outlineLevel="1" x14ac:dyDescent="0.25">
      <c r="A508" t="s">
        <v>97</v>
      </c>
      <c r="B508">
        <v>1432</v>
      </c>
      <c r="C508" s="17">
        <v>2.8000000000000003</v>
      </c>
      <c r="D508" s="17">
        <v>0.97815042629658377</v>
      </c>
      <c r="E508" t="s">
        <v>131</v>
      </c>
      <c r="F508" t="s">
        <v>134</v>
      </c>
    </row>
    <row r="509" spans="1:6" outlineLevel="1" x14ac:dyDescent="0.25">
      <c r="A509" t="s">
        <v>97</v>
      </c>
      <c r="B509">
        <v>1432</v>
      </c>
      <c r="C509" s="17">
        <v>3.0000000000000004</v>
      </c>
      <c r="D509" s="17">
        <v>0.97815042629658377</v>
      </c>
      <c r="E509" t="s">
        <v>131</v>
      </c>
      <c r="F509" t="s">
        <v>134</v>
      </c>
    </row>
    <row r="510" spans="1:6" outlineLevel="1" x14ac:dyDescent="0.25">
      <c r="A510" t="s">
        <v>97</v>
      </c>
      <c r="B510">
        <v>1432</v>
      </c>
      <c r="C510" s="17">
        <v>3.2000000000000006</v>
      </c>
      <c r="D510" s="17">
        <v>0.97815042629658377</v>
      </c>
      <c r="E510" t="s">
        <v>131</v>
      </c>
      <c r="F510" t="s">
        <v>134</v>
      </c>
    </row>
    <row r="511" spans="1:6" outlineLevel="1" x14ac:dyDescent="0.25">
      <c r="A511" t="s">
        <v>97</v>
      </c>
      <c r="B511">
        <v>1432</v>
      </c>
      <c r="C511" s="17">
        <v>3.4000000000000008</v>
      </c>
      <c r="D511" s="17">
        <v>0.97815042629658377</v>
      </c>
      <c r="E511" t="s">
        <v>131</v>
      </c>
      <c r="F511" t="s">
        <v>134</v>
      </c>
    </row>
    <row r="512" spans="1:6" outlineLevel="1" x14ac:dyDescent="0.25">
      <c r="A512" t="s">
        <v>97</v>
      </c>
      <c r="B512">
        <v>1432</v>
      </c>
      <c r="C512" s="17">
        <v>3.600000000000001</v>
      </c>
      <c r="D512" s="17">
        <v>0.97815042629658377</v>
      </c>
      <c r="E512" t="s">
        <v>131</v>
      </c>
      <c r="F512" t="s">
        <v>134</v>
      </c>
    </row>
    <row r="513" spans="1:6" ht="15.75" customHeight="1" outlineLevel="1" x14ac:dyDescent="0.25">
      <c r="A513" t="s">
        <v>97</v>
      </c>
      <c r="B513">
        <v>1432</v>
      </c>
      <c r="C513" s="17">
        <v>3.8000000000000012</v>
      </c>
      <c r="D513" s="17">
        <v>0.97815042629658377</v>
      </c>
      <c r="E513" t="s">
        <v>131</v>
      </c>
      <c r="F513" t="s">
        <v>134</v>
      </c>
    </row>
    <row r="514" spans="1:6" outlineLevel="1" x14ac:dyDescent="0.25">
      <c r="A514" t="s">
        <v>97</v>
      </c>
      <c r="B514">
        <v>1432</v>
      </c>
      <c r="C514" s="17">
        <v>4.0000000000000009</v>
      </c>
      <c r="D514" s="17">
        <v>0.97815042629658377</v>
      </c>
      <c r="E514" t="s">
        <v>131</v>
      </c>
      <c r="F514" t="s">
        <v>134</v>
      </c>
    </row>
    <row r="515" spans="1:6" ht="14.25" customHeight="1" outlineLevel="1" x14ac:dyDescent="0.25">
      <c r="A515" t="s">
        <v>98</v>
      </c>
      <c r="B515">
        <v>1433</v>
      </c>
      <c r="C515" s="17">
        <v>0</v>
      </c>
      <c r="D515" s="17">
        <v>0</v>
      </c>
      <c r="E515" t="s">
        <v>131</v>
      </c>
      <c r="F515" t="s">
        <v>134</v>
      </c>
    </row>
    <row r="516" spans="1:6" outlineLevel="1" x14ac:dyDescent="0.25">
      <c r="A516" t="s">
        <v>98</v>
      </c>
      <c r="B516">
        <v>1433</v>
      </c>
      <c r="C516" s="17">
        <v>0.2</v>
      </c>
      <c r="D516" s="17">
        <v>0.10308032333427095</v>
      </c>
      <c r="E516" t="s">
        <v>131</v>
      </c>
      <c r="F516" t="s">
        <v>134</v>
      </c>
    </row>
    <row r="517" spans="1:6" outlineLevel="1" x14ac:dyDescent="0.25">
      <c r="A517" t="s">
        <v>98</v>
      </c>
      <c r="B517">
        <v>1433</v>
      </c>
      <c r="C517" s="17">
        <v>0.4</v>
      </c>
      <c r="D517" s="17">
        <v>0.20616064666854189</v>
      </c>
      <c r="E517" t="s">
        <v>131</v>
      </c>
      <c r="F517" t="s">
        <v>134</v>
      </c>
    </row>
    <row r="518" spans="1:6" outlineLevel="1" x14ac:dyDescent="0.25">
      <c r="A518" t="s">
        <v>98</v>
      </c>
      <c r="B518">
        <v>1433</v>
      </c>
      <c r="C518" s="17">
        <v>0.60000000000000009</v>
      </c>
      <c r="D518" s="17">
        <v>0.27055603519058713</v>
      </c>
      <c r="E518" t="s">
        <v>131</v>
      </c>
      <c r="F518" t="s">
        <v>134</v>
      </c>
    </row>
    <row r="519" spans="1:6" outlineLevel="1" x14ac:dyDescent="0.25">
      <c r="A519" t="s">
        <v>98</v>
      </c>
      <c r="B519">
        <v>1433</v>
      </c>
      <c r="C519" s="17">
        <v>0.8</v>
      </c>
      <c r="D519" s="17">
        <v>0.3478464019833743</v>
      </c>
      <c r="E519" t="s">
        <v>131</v>
      </c>
      <c r="F519" t="s">
        <v>134</v>
      </c>
    </row>
    <row r="520" spans="1:6" outlineLevel="1" x14ac:dyDescent="0.25">
      <c r="A520" t="s">
        <v>98</v>
      </c>
      <c r="B520">
        <v>1433</v>
      </c>
      <c r="C520" s="17">
        <v>1</v>
      </c>
      <c r="D520" s="17">
        <v>0.38860099700905948</v>
      </c>
      <c r="E520" t="s">
        <v>131</v>
      </c>
      <c r="F520" t="s">
        <v>134</v>
      </c>
    </row>
    <row r="521" spans="1:6" outlineLevel="1" x14ac:dyDescent="0.25">
      <c r="A521" t="s">
        <v>98</v>
      </c>
      <c r="B521">
        <v>1433</v>
      </c>
      <c r="C521" s="17">
        <v>1.2</v>
      </c>
      <c r="D521" s="17">
        <v>0.42935559203474466</v>
      </c>
      <c r="E521" t="s">
        <v>131</v>
      </c>
      <c r="F521" t="s">
        <v>134</v>
      </c>
    </row>
    <row r="522" spans="1:6" outlineLevel="1" x14ac:dyDescent="0.25">
      <c r="A522" t="s">
        <v>98</v>
      </c>
      <c r="B522">
        <v>1433</v>
      </c>
      <c r="C522" s="17">
        <v>1.4</v>
      </c>
      <c r="D522" s="17">
        <v>0.47011018706042984</v>
      </c>
      <c r="E522" t="s">
        <v>131</v>
      </c>
      <c r="F522" t="s">
        <v>134</v>
      </c>
    </row>
    <row r="523" spans="1:6" outlineLevel="1" x14ac:dyDescent="0.25">
      <c r="A523" t="s">
        <v>98</v>
      </c>
      <c r="B523">
        <v>1433</v>
      </c>
      <c r="C523" s="17">
        <v>1.5999999999999999</v>
      </c>
      <c r="D523" s="17">
        <v>0.51086478208611497</v>
      </c>
      <c r="E523" t="s">
        <v>131</v>
      </c>
      <c r="F523" t="s">
        <v>134</v>
      </c>
    </row>
    <row r="524" spans="1:6" outlineLevel="1" x14ac:dyDescent="0.25">
      <c r="A524" t="s">
        <v>98</v>
      </c>
      <c r="B524">
        <v>1433</v>
      </c>
      <c r="C524" s="17">
        <v>1.7999999999999998</v>
      </c>
      <c r="D524" s="17">
        <v>0.55161937711180009</v>
      </c>
      <c r="E524" t="s">
        <v>131</v>
      </c>
      <c r="F524" t="s">
        <v>134</v>
      </c>
    </row>
    <row r="525" spans="1:6" outlineLevel="1" x14ac:dyDescent="0.25">
      <c r="A525" t="s">
        <v>98</v>
      </c>
      <c r="B525">
        <v>1433</v>
      </c>
      <c r="C525" s="17">
        <v>1.9999999999999998</v>
      </c>
      <c r="D525" s="17">
        <v>0.59237397213748522</v>
      </c>
      <c r="E525" t="s">
        <v>131</v>
      </c>
      <c r="F525" t="s">
        <v>134</v>
      </c>
    </row>
    <row r="526" spans="1:6" outlineLevel="1" x14ac:dyDescent="0.25">
      <c r="A526" t="s">
        <v>98</v>
      </c>
      <c r="B526">
        <v>1433</v>
      </c>
      <c r="C526" s="17">
        <v>2.1999999999999997</v>
      </c>
      <c r="D526" s="17">
        <v>0.63312856716317034</v>
      </c>
      <c r="E526" t="s">
        <v>131</v>
      </c>
      <c r="F526" t="s">
        <v>134</v>
      </c>
    </row>
    <row r="527" spans="1:6" outlineLevel="1" x14ac:dyDescent="0.25">
      <c r="A527" t="s">
        <v>98</v>
      </c>
      <c r="B527">
        <v>1433</v>
      </c>
      <c r="C527" s="17">
        <v>2.4</v>
      </c>
      <c r="D527" s="17">
        <v>0.7211647491815758</v>
      </c>
      <c r="E527" t="s">
        <v>131</v>
      </c>
      <c r="F527" t="s">
        <v>134</v>
      </c>
    </row>
    <row r="528" spans="1:6" outlineLevel="1" x14ac:dyDescent="0.25">
      <c r="A528" t="s">
        <v>98</v>
      </c>
      <c r="B528">
        <v>1433</v>
      </c>
      <c r="C528" s="17">
        <v>2.6</v>
      </c>
      <c r="D528" s="17">
        <v>0.97946985330478864</v>
      </c>
      <c r="E528" t="s">
        <v>131</v>
      </c>
      <c r="F528" t="s">
        <v>134</v>
      </c>
    </row>
    <row r="529" spans="1:6" outlineLevel="1" x14ac:dyDescent="0.25">
      <c r="A529" t="s">
        <v>98</v>
      </c>
      <c r="B529">
        <v>1433</v>
      </c>
      <c r="C529" s="17">
        <v>2.8000000000000003</v>
      </c>
      <c r="D529" s="17">
        <v>0.97946985330478864</v>
      </c>
      <c r="E529" t="s">
        <v>131</v>
      </c>
      <c r="F529" t="s">
        <v>134</v>
      </c>
    </row>
    <row r="530" spans="1:6" outlineLevel="1" x14ac:dyDescent="0.25">
      <c r="A530" t="s">
        <v>98</v>
      </c>
      <c r="B530">
        <v>1433</v>
      </c>
      <c r="C530" s="17">
        <v>3.0000000000000004</v>
      </c>
      <c r="D530" s="17">
        <v>0.97946985330478864</v>
      </c>
      <c r="E530" t="s">
        <v>131</v>
      </c>
      <c r="F530" t="s">
        <v>134</v>
      </c>
    </row>
    <row r="531" spans="1:6" outlineLevel="1" x14ac:dyDescent="0.25">
      <c r="A531" t="s">
        <v>98</v>
      </c>
      <c r="B531">
        <v>1433</v>
      </c>
      <c r="C531" s="17">
        <v>3.2000000000000006</v>
      </c>
      <c r="D531" s="17">
        <v>0.97946985330478864</v>
      </c>
      <c r="E531" t="s">
        <v>131</v>
      </c>
      <c r="F531" t="s">
        <v>134</v>
      </c>
    </row>
    <row r="532" spans="1:6" outlineLevel="1" x14ac:dyDescent="0.25">
      <c r="A532" t="s">
        <v>98</v>
      </c>
      <c r="B532">
        <v>1433</v>
      </c>
      <c r="C532" s="17">
        <v>3.4000000000000008</v>
      </c>
      <c r="D532" s="17">
        <v>0.97946985330478864</v>
      </c>
      <c r="E532" t="s">
        <v>131</v>
      </c>
      <c r="F532" t="s">
        <v>134</v>
      </c>
    </row>
    <row r="533" spans="1:6" outlineLevel="1" x14ac:dyDescent="0.25">
      <c r="A533" t="s">
        <v>98</v>
      </c>
      <c r="B533">
        <v>1433</v>
      </c>
      <c r="C533" s="17">
        <v>3.600000000000001</v>
      </c>
      <c r="D533" s="17">
        <v>0.97946985330478864</v>
      </c>
      <c r="E533" t="s">
        <v>131</v>
      </c>
      <c r="F533" t="s">
        <v>134</v>
      </c>
    </row>
    <row r="534" spans="1:6" ht="15.75" customHeight="1" outlineLevel="1" x14ac:dyDescent="0.25">
      <c r="A534" t="s">
        <v>98</v>
      </c>
      <c r="B534">
        <v>1433</v>
      </c>
      <c r="C534" s="17">
        <v>3.8000000000000012</v>
      </c>
      <c r="D534" s="17">
        <v>0.97946985330478864</v>
      </c>
      <c r="E534" t="s">
        <v>131</v>
      </c>
      <c r="F534" t="s">
        <v>134</v>
      </c>
    </row>
    <row r="535" spans="1:6" outlineLevel="1" x14ac:dyDescent="0.25">
      <c r="A535" t="s">
        <v>98</v>
      </c>
      <c r="B535">
        <v>1433</v>
      </c>
      <c r="C535" s="17">
        <v>4.0000000000000009</v>
      </c>
      <c r="D535" s="17">
        <v>0.97946985330478864</v>
      </c>
      <c r="E535" t="s">
        <v>131</v>
      </c>
      <c r="F535" t="s">
        <v>134</v>
      </c>
    </row>
    <row r="536" spans="1:6" ht="14.25" customHeight="1" outlineLevel="1" x14ac:dyDescent="0.25">
      <c r="A536" t="s">
        <v>99</v>
      </c>
      <c r="B536">
        <v>1434</v>
      </c>
      <c r="C536" s="17">
        <v>0</v>
      </c>
      <c r="D536" s="17">
        <v>0</v>
      </c>
      <c r="E536" t="s">
        <v>131</v>
      </c>
      <c r="F536" t="s">
        <v>134</v>
      </c>
    </row>
    <row r="537" spans="1:6" outlineLevel="1" x14ac:dyDescent="0.25">
      <c r="A537" t="s">
        <v>99</v>
      </c>
      <c r="B537">
        <v>1434</v>
      </c>
      <c r="C537" s="17">
        <v>0.2</v>
      </c>
      <c r="D537" s="17">
        <v>0.3161329796199645</v>
      </c>
      <c r="E537" t="s">
        <v>131</v>
      </c>
      <c r="F537" t="s">
        <v>134</v>
      </c>
    </row>
    <row r="538" spans="1:6" outlineLevel="1" x14ac:dyDescent="0.25">
      <c r="A538" t="s">
        <v>99</v>
      </c>
      <c r="B538">
        <v>1434</v>
      </c>
      <c r="C538" s="17">
        <v>0.4</v>
      </c>
      <c r="D538" s="17">
        <v>0.51841780609717403</v>
      </c>
      <c r="E538" t="s">
        <v>131</v>
      </c>
      <c r="F538" t="s">
        <v>134</v>
      </c>
    </row>
    <row r="539" spans="1:6" outlineLevel="1" x14ac:dyDescent="0.25">
      <c r="A539" t="s">
        <v>99</v>
      </c>
      <c r="B539">
        <v>1434</v>
      </c>
      <c r="C539" s="17">
        <v>0.60000000000000009</v>
      </c>
      <c r="D539" s="17">
        <v>0.60685447943162862</v>
      </c>
      <c r="E539" t="s">
        <v>131</v>
      </c>
      <c r="F539" t="s">
        <v>134</v>
      </c>
    </row>
    <row r="540" spans="1:6" outlineLevel="1" x14ac:dyDescent="0.25">
      <c r="A540" t="s">
        <v>99</v>
      </c>
      <c r="B540">
        <v>1434</v>
      </c>
      <c r="C540" s="17">
        <v>0.8</v>
      </c>
      <c r="D540" s="17">
        <v>0.73324053714700144</v>
      </c>
      <c r="E540" t="s">
        <v>131</v>
      </c>
      <c r="F540" t="s">
        <v>134</v>
      </c>
    </row>
    <row r="541" spans="1:6" outlineLevel="1" x14ac:dyDescent="0.25">
      <c r="A541" t="s">
        <v>99</v>
      </c>
      <c r="B541">
        <v>1434</v>
      </c>
      <c r="C541" s="17">
        <v>1</v>
      </c>
      <c r="D541" s="17">
        <v>0.75210333911643901</v>
      </c>
      <c r="E541" t="s">
        <v>131</v>
      </c>
      <c r="F541" t="s">
        <v>134</v>
      </c>
    </row>
    <row r="542" spans="1:6" outlineLevel="1" x14ac:dyDescent="0.25">
      <c r="A542" t="s">
        <v>99</v>
      </c>
      <c r="B542">
        <v>1434</v>
      </c>
      <c r="C542" s="17">
        <v>1.2</v>
      </c>
      <c r="D542" s="17">
        <v>0.77096614108587658</v>
      </c>
      <c r="E542" t="s">
        <v>131</v>
      </c>
      <c r="F542" t="s">
        <v>134</v>
      </c>
    </row>
    <row r="543" spans="1:6" outlineLevel="1" x14ac:dyDescent="0.25">
      <c r="A543" t="s">
        <v>99</v>
      </c>
      <c r="B543">
        <v>1434</v>
      </c>
      <c r="C543" s="17">
        <v>1.4</v>
      </c>
      <c r="D543" s="17">
        <v>0.78982894305531426</v>
      </c>
      <c r="E543" t="s">
        <v>131</v>
      </c>
      <c r="F543" t="s">
        <v>134</v>
      </c>
    </row>
    <row r="544" spans="1:6" outlineLevel="1" x14ac:dyDescent="0.25">
      <c r="A544" t="s">
        <v>99</v>
      </c>
      <c r="B544">
        <v>1434</v>
      </c>
      <c r="C544" s="17">
        <v>1.5999999999999999</v>
      </c>
      <c r="D544" s="17">
        <v>0.80869174502475161</v>
      </c>
      <c r="E544" t="s">
        <v>131</v>
      </c>
      <c r="F544" t="s">
        <v>134</v>
      </c>
    </row>
    <row r="545" spans="1:6" outlineLevel="1" x14ac:dyDescent="0.25">
      <c r="A545" t="s">
        <v>99</v>
      </c>
      <c r="B545">
        <v>1434</v>
      </c>
      <c r="C545" s="17">
        <v>1.7999999999999998</v>
      </c>
      <c r="D545" s="17">
        <v>0.82755454699418951</v>
      </c>
      <c r="E545" t="s">
        <v>131</v>
      </c>
      <c r="F545" t="s">
        <v>134</v>
      </c>
    </row>
    <row r="546" spans="1:6" outlineLevel="1" x14ac:dyDescent="0.25">
      <c r="A546" t="s">
        <v>99</v>
      </c>
      <c r="B546">
        <v>1434</v>
      </c>
      <c r="C546" s="17">
        <v>1.9999999999999998</v>
      </c>
      <c r="D546" s="17">
        <v>0.84641734896362675</v>
      </c>
      <c r="E546" t="s">
        <v>131</v>
      </c>
      <c r="F546" t="s">
        <v>134</v>
      </c>
    </row>
    <row r="547" spans="1:6" outlineLevel="1" x14ac:dyDescent="0.25">
      <c r="A547" t="s">
        <v>99</v>
      </c>
      <c r="B547">
        <v>1434</v>
      </c>
      <c r="C547" s="17">
        <v>2.1999999999999997</v>
      </c>
      <c r="D547" s="17">
        <v>0.86528015093306432</v>
      </c>
      <c r="E547" t="s">
        <v>131</v>
      </c>
      <c r="F547" t="s">
        <v>134</v>
      </c>
    </row>
    <row r="548" spans="1:6" outlineLevel="1" x14ac:dyDescent="0.25">
      <c r="A548" t="s">
        <v>99</v>
      </c>
      <c r="B548">
        <v>1434</v>
      </c>
      <c r="C548" s="17">
        <v>2.4</v>
      </c>
      <c r="D548" s="17">
        <v>0.90944254248978063</v>
      </c>
      <c r="E548" t="s">
        <v>131</v>
      </c>
      <c r="F548" t="s">
        <v>134</v>
      </c>
    </row>
    <row r="549" spans="1:6" outlineLevel="1" x14ac:dyDescent="0.25">
      <c r="A549" t="s">
        <v>99</v>
      </c>
      <c r="B549">
        <v>1434</v>
      </c>
      <c r="C549" s="17">
        <v>2.6</v>
      </c>
      <c r="D549" s="17">
        <v>0.99333241445773701</v>
      </c>
      <c r="E549" t="s">
        <v>131</v>
      </c>
      <c r="F549" t="s">
        <v>134</v>
      </c>
    </row>
    <row r="550" spans="1:6" outlineLevel="1" x14ac:dyDescent="0.25">
      <c r="A550" t="s">
        <v>99</v>
      </c>
      <c r="B550">
        <v>1434</v>
      </c>
      <c r="C550" s="17">
        <v>2.8000000000000003</v>
      </c>
      <c r="D550" s="17">
        <v>0.99333241445773701</v>
      </c>
      <c r="E550" t="s">
        <v>131</v>
      </c>
      <c r="F550" t="s">
        <v>134</v>
      </c>
    </row>
    <row r="551" spans="1:6" outlineLevel="1" x14ac:dyDescent="0.25">
      <c r="A551" t="s">
        <v>99</v>
      </c>
      <c r="B551">
        <v>1434</v>
      </c>
      <c r="C551" s="17">
        <v>3.0000000000000004</v>
      </c>
      <c r="D551" s="17">
        <v>0.99333241445773701</v>
      </c>
      <c r="E551" t="s">
        <v>131</v>
      </c>
      <c r="F551" t="s">
        <v>134</v>
      </c>
    </row>
    <row r="552" spans="1:6" outlineLevel="1" x14ac:dyDescent="0.25">
      <c r="A552" t="s">
        <v>99</v>
      </c>
      <c r="B552">
        <v>1434</v>
      </c>
      <c r="C552" s="17">
        <v>3.2000000000000006</v>
      </c>
      <c r="D552" s="17">
        <v>0.99333241445773701</v>
      </c>
      <c r="E552" t="s">
        <v>131</v>
      </c>
      <c r="F552" t="s">
        <v>134</v>
      </c>
    </row>
    <row r="553" spans="1:6" outlineLevel="1" x14ac:dyDescent="0.25">
      <c r="A553" t="s">
        <v>99</v>
      </c>
      <c r="B553">
        <v>1434</v>
      </c>
      <c r="C553" s="17">
        <v>3.4000000000000008</v>
      </c>
      <c r="D553" s="17">
        <v>0.99333241445773701</v>
      </c>
      <c r="E553" t="s">
        <v>131</v>
      </c>
      <c r="F553" t="s">
        <v>134</v>
      </c>
    </row>
    <row r="554" spans="1:6" outlineLevel="1" x14ac:dyDescent="0.25">
      <c r="A554" t="s">
        <v>99</v>
      </c>
      <c r="B554">
        <v>1434</v>
      </c>
      <c r="C554" s="17">
        <v>3.600000000000001</v>
      </c>
      <c r="D554" s="17">
        <v>0.99333241445773701</v>
      </c>
      <c r="E554" t="s">
        <v>131</v>
      </c>
      <c r="F554" t="s">
        <v>134</v>
      </c>
    </row>
    <row r="555" spans="1:6" ht="15.75" customHeight="1" outlineLevel="1" x14ac:dyDescent="0.25">
      <c r="A555" t="s">
        <v>99</v>
      </c>
      <c r="B555">
        <v>1434</v>
      </c>
      <c r="C555" s="17">
        <v>3.8000000000000012</v>
      </c>
      <c r="D555" s="17">
        <v>0.99333241445773701</v>
      </c>
      <c r="E555" t="s">
        <v>131</v>
      </c>
      <c r="F555" t="s">
        <v>134</v>
      </c>
    </row>
    <row r="556" spans="1:6" outlineLevel="1" x14ac:dyDescent="0.25">
      <c r="A556" t="s">
        <v>99</v>
      </c>
      <c r="B556">
        <v>1434</v>
      </c>
      <c r="C556" s="17">
        <v>4.0000000000000009</v>
      </c>
      <c r="D556" s="17">
        <v>0.99333241445773701</v>
      </c>
      <c r="E556" t="s">
        <v>131</v>
      </c>
      <c r="F556" t="s">
        <v>134</v>
      </c>
    </row>
    <row r="557" spans="1:6" ht="14.25" customHeight="1" outlineLevel="1" x14ac:dyDescent="0.25">
      <c r="A557" t="s">
        <v>100</v>
      </c>
      <c r="B557">
        <v>1435</v>
      </c>
      <c r="C557" s="17">
        <v>0</v>
      </c>
      <c r="D557" s="17">
        <v>0</v>
      </c>
      <c r="E557" t="s">
        <v>131</v>
      </c>
      <c r="F557" t="s">
        <v>134</v>
      </c>
    </row>
    <row r="558" spans="1:6" outlineLevel="1" x14ac:dyDescent="0.25">
      <c r="A558" t="s">
        <v>100</v>
      </c>
      <c r="B558">
        <v>1435</v>
      </c>
      <c r="C558" s="17">
        <v>0.2</v>
      </c>
      <c r="D558" s="17">
        <v>8.6124032093301314E-2</v>
      </c>
      <c r="E558" t="s">
        <v>131</v>
      </c>
      <c r="F558" t="s">
        <v>134</v>
      </c>
    </row>
    <row r="559" spans="1:6" outlineLevel="1" x14ac:dyDescent="0.25">
      <c r="A559" t="s">
        <v>100</v>
      </c>
      <c r="B559">
        <v>1435</v>
      </c>
      <c r="C559" s="17">
        <v>0.4</v>
      </c>
      <c r="D559" s="17">
        <v>0.17224806418660263</v>
      </c>
      <c r="E559" t="s">
        <v>131</v>
      </c>
      <c r="F559" t="s">
        <v>134</v>
      </c>
    </row>
    <row r="560" spans="1:6" outlineLevel="1" x14ac:dyDescent="0.25">
      <c r="A560" t="s">
        <v>100</v>
      </c>
      <c r="B560">
        <v>1435</v>
      </c>
      <c r="C560" s="17">
        <v>0.60000000000000009</v>
      </c>
      <c r="D560" s="17">
        <v>0.23253425389033469</v>
      </c>
      <c r="E560" t="s">
        <v>131</v>
      </c>
      <c r="F560" t="s">
        <v>134</v>
      </c>
    </row>
    <row r="561" spans="1:6" outlineLevel="1" x14ac:dyDescent="0.25">
      <c r="A561" t="s">
        <v>100</v>
      </c>
      <c r="B561">
        <v>1435</v>
      </c>
      <c r="C561" s="17">
        <v>0.8</v>
      </c>
      <c r="D561" s="17">
        <v>0.30143305772392315</v>
      </c>
      <c r="E561" t="s">
        <v>131</v>
      </c>
      <c r="F561" t="s">
        <v>134</v>
      </c>
    </row>
    <row r="562" spans="1:6" outlineLevel="1" x14ac:dyDescent="0.25">
      <c r="A562" t="s">
        <v>100</v>
      </c>
      <c r="B562">
        <v>1435</v>
      </c>
      <c r="C562" s="17">
        <v>1</v>
      </c>
      <c r="D562" s="17">
        <v>0.34592945485625182</v>
      </c>
      <c r="E562" t="s">
        <v>131</v>
      </c>
      <c r="F562" t="s">
        <v>134</v>
      </c>
    </row>
    <row r="563" spans="1:6" outlineLevel="1" x14ac:dyDescent="0.25">
      <c r="A563" t="s">
        <v>100</v>
      </c>
      <c r="B563">
        <v>1435</v>
      </c>
      <c r="C563" s="17">
        <v>1.2</v>
      </c>
      <c r="D563" s="17">
        <v>0.39042585198858054</v>
      </c>
      <c r="E563" t="s">
        <v>131</v>
      </c>
      <c r="F563" t="s">
        <v>134</v>
      </c>
    </row>
    <row r="564" spans="1:6" outlineLevel="1" x14ac:dyDescent="0.25">
      <c r="A564" t="s">
        <v>100</v>
      </c>
      <c r="B564">
        <v>1435</v>
      </c>
      <c r="C564" s="17">
        <v>1.4</v>
      </c>
      <c r="D564" s="17">
        <v>0.43492224912090915</v>
      </c>
      <c r="E564" t="s">
        <v>131</v>
      </c>
      <c r="F564" t="s">
        <v>134</v>
      </c>
    </row>
    <row r="565" spans="1:6" outlineLevel="1" x14ac:dyDescent="0.25">
      <c r="A565" t="s">
        <v>100</v>
      </c>
      <c r="B565">
        <v>1435</v>
      </c>
      <c r="C565" s="17">
        <v>1.5999999999999999</v>
      </c>
      <c r="D565" s="17">
        <v>0.47941864625323788</v>
      </c>
      <c r="E565" t="s">
        <v>131</v>
      </c>
      <c r="F565" t="s">
        <v>134</v>
      </c>
    </row>
    <row r="566" spans="1:6" outlineLevel="1" x14ac:dyDescent="0.25">
      <c r="A566" t="s">
        <v>100</v>
      </c>
      <c r="B566">
        <v>1435</v>
      </c>
      <c r="C566" s="17">
        <v>1.7999999999999998</v>
      </c>
      <c r="D566" s="17">
        <v>0.52391504338556649</v>
      </c>
      <c r="E566" t="s">
        <v>131</v>
      </c>
      <c r="F566" t="s">
        <v>134</v>
      </c>
    </row>
    <row r="567" spans="1:6" outlineLevel="1" x14ac:dyDescent="0.25">
      <c r="A567" t="s">
        <v>100</v>
      </c>
      <c r="B567">
        <v>1435</v>
      </c>
      <c r="C567" s="17">
        <v>1.9999999999999998</v>
      </c>
      <c r="D567" s="17">
        <v>0.56841144051789516</v>
      </c>
      <c r="E567" t="s">
        <v>131</v>
      </c>
      <c r="F567" t="s">
        <v>134</v>
      </c>
    </row>
    <row r="568" spans="1:6" outlineLevel="1" x14ac:dyDescent="0.25">
      <c r="A568" t="s">
        <v>100</v>
      </c>
      <c r="B568">
        <v>1435</v>
      </c>
      <c r="C568" s="17">
        <v>2.1999999999999997</v>
      </c>
      <c r="D568" s="17">
        <v>0.61290783765022383</v>
      </c>
      <c r="E568" t="s">
        <v>131</v>
      </c>
      <c r="F568" t="s">
        <v>134</v>
      </c>
    </row>
    <row r="569" spans="1:6" outlineLevel="1" x14ac:dyDescent="0.25">
      <c r="A569" t="s">
        <v>100</v>
      </c>
      <c r="B569">
        <v>1435</v>
      </c>
      <c r="C569" s="17">
        <v>2.4</v>
      </c>
      <c r="D569" s="17">
        <v>0.6889838199253594</v>
      </c>
      <c r="E569" t="s">
        <v>131</v>
      </c>
      <c r="F569" t="s">
        <v>134</v>
      </c>
    </row>
    <row r="570" spans="1:6" outlineLevel="1" x14ac:dyDescent="0.25">
      <c r="A570" t="s">
        <v>100</v>
      </c>
      <c r="B570">
        <v>1435</v>
      </c>
      <c r="C570" s="17">
        <v>2.6</v>
      </c>
      <c r="D570" s="17">
        <v>0.97710042836128108</v>
      </c>
      <c r="E570" t="s">
        <v>131</v>
      </c>
      <c r="F570" t="s">
        <v>134</v>
      </c>
    </row>
    <row r="571" spans="1:6" outlineLevel="1" x14ac:dyDescent="0.25">
      <c r="A571" t="s">
        <v>100</v>
      </c>
      <c r="B571">
        <v>1435</v>
      </c>
      <c r="C571" s="17">
        <v>2.8000000000000003</v>
      </c>
      <c r="D571" s="17">
        <v>0.97710042836128108</v>
      </c>
      <c r="E571" t="s">
        <v>131</v>
      </c>
      <c r="F571" t="s">
        <v>134</v>
      </c>
    </row>
    <row r="572" spans="1:6" outlineLevel="1" x14ac:dyDescent="0.25">
      <c r="A572" t="s">
        <v>100</v>
      </c>
      <c r="B572">
        <v>1435</v>
      </c>
      <c r="C572" s="17">
        <v>3.0000000000000004</v>
      </c>
      <c r="D572" s="17">
        <v>0.97710042836128108</v>
      </c>
      <c r="E572" t="s">
        <v>131</v>
      </c>
      <c r="F572" t="s">
        <v>134</v>
      </c>
    </row>
    <row r="573" spans="1:6" outlineLevel="1" x14ac:dyDescent="0.25">
      <c r="A573" t="s">
        <v>100</v>
      </c>
      <c r="B573">
        <v>1435</v>
      </c>
      <c r="C573" s="17">
        <v>3.2000000000000006</v>
      </c>
      <c r="D573" s="17">
        <v>0.97710042836128108</v>
      </c>
      <c r="E573" t="s">
        <v>131</v>
      </c>
      <c r="F573" t="s">
        <v>134</v>
      </c>
    </row>
    <row r="574" spans="1:6" outlineLevel="1" x14ac:dyDescent="0.25">
      <c r="A574" t="s">
        <v>100</v>
      </c>
      <c r="B574">
        <v>1435</v>
      </c>
      <c r="C574" s="17">
        <v>3.4000000000000008</v>
      </c>
      <c r="D574" s="17">
        <v>0.97710042836128108</v>
      </c>
      <c r="E574" t="s">
        <v>131</v>
      </c>
      <c r="F574" t="s">
        <v>134</v>
      </c>
    </row>
    <row r="575" spans="1:6" outlineLevel="1" x14ac:dyDescent="0.25">
      <c r="A575" t="s">
        <v>100</v>
      </c>
      <c r="B575">
        <v>1435</v>
      </c>
      <c r="C575" s="17">
        <v>3.600000000000001</v>
      </c>
      <c r="D575" s="17">
        <v>0.97710042836128108</v>
      </c>
      <c r="E575" t="s">
        <v>131</v>
      </c>
      <c r="F575" t="s">
        <v>134</v>
      </c>
    </row>
    <row r="576" spans="1:6" ht="15.75" customHeight="1" outlineLevel="1" x14ac:dyDescent="0.25">
      <c r="A576" t="s">
        <v>100</v>
      </c>
      <c r="B576">
        <v>1435</v>
      </c>
      <c r="C576" s="17">
        <v>3.8000000000000012</v>
      </c>
      <c r="D576" s="17">
        <v>0.97710042836128108</v>
      </c>
      <c r="E576" t="s">
        <v>131</v>
      </c>
      <c r="F576" t="s">
        <v>134</v>
      </c>
    </row>
    <row r="577" spans="1:6" outlineLevel="1" x14ac:dyDescent="0.25">
      <c r="A577" t="s">
        <v>100</v>
      </c>
      <c r="B577">
        <v>1435</v>
      </c>
      <c r="C577" s="17">
        <v>4.0000000000000009</v>
      </c>
      <c r="D577" s="17">
        <v>0.97710042836128108</v>
      </c>
      <c r="E577" t="s">
        <v>131</v>
      </c>
      <c r="F577" t="s">
        <v>134</v>
      </c>
    </row>
    <row r="578" spans="1:6" ht="14.25" customHeight="1" outlineLevel="1" x14ac:dyDescent="0.25">
      <c r="A578" t="s">
        <v>101</v>
      </c>
      <c r="B578">
        <v>1440</v>
      </c>
      <c r="C578" s="17">
        <v>0</v>
      </c>
      <c r="D578" s="17">
        <v>0</v>
      </c>
      <c r="E578" t="s">
        <v>131</v>
      </c>
      <c r="F578" t="s">
        <v>134</v>
      </c>
    </row>
    <row r="579" spans="1:6" outlineLevel="1" x14ac:dyDescent="0.25">
      <c r="A579" t="s">
        <v>101</v>
      </c>
      <c r="B579">
        <v>1440</v>
      </c>
      <c r="C579" s="17">
        <v>0.2</v>
      </c>
      <c r="D579" s="17">
        <v>9.0116220313289544E-2</v>
      </c>
      <c r="E579" t="s">
        <v>131</v>
      </c>
      <c r="F579" t="s">
        <v>134</v>
      </c>
    </row>
    <row r="580" spans="1:6" outlineLevel="1" x14ac:dyDescent="0.25">
      <c r="A580" t="s">
        <v>101</v>
      </c>
      <c r="B580">
        <v>1440</v>
      </c>
      <c r="C580" s="17">
        <v>0.4</v>
      </c>
      <c r="D580" s="17">
        <v>0.18023244062657909</v>
      </c>
      <c r="E580" t="s">
        <v>131</v>
      </c>
      <c r="F580" t="s">
        <v>134</v>
      </c>
    </row>
    <row r="581" spans="1:6" outlineLevel="1" x14ac:dyDescent="0.25">
      <c r="A581" t="s">
        <v>101</v>
      </c>
      <c r="B581">
        <v>1440</v>
      </c>
      <c r="C581" s="17">
        <v>0.60000000000000009</v>
      </c>
      <c r="D581" s="17">
        <v>0.20110248518535534</v>
      </c>
      <c r="E581" t="s">
        <v>131</v>
      </c>
      <c r="F581" t="s">
        <v>134</v>
      </c>
    </row>
    <row r="582" spans="1:6" outlineLevel="1" x14ac:dyDescent="0.25">
      <c r="A582" t="s">
        <v>101</v>
      </c>
      <c r="B582">
        <v>1440</v>
      </c>
      <c r="C582" s="17">
        <v>0.8</v>
      </c>
      <c r="D582" s="17">
        <v>0.22197252974413156</v>
      </c>
      <c r="E582" t="s">
        <v>131</v>
      </c>
      <c r="F582" t="s">
        <v>134</v>
      </c>
    </row>
    <row r="583" spans="1:6" outlineLevel="1" x14ac:dyDescent="0.25">
      <c r="A583" t="s">
        <v>101</v>
      </c>
      <c r="B583">
        <v>1440</v>
      </c>
      <c r="C583" s="17">
        <v>1</v>
      </c>
      <c r="D583" s="17">
        <v>0.24284257430290782</v>
      </c>
      <c r="E583" t="s">
        <v>131</v>
      </c>
      <c r="F583" t="s">
        <v>134</v>
      </c>
    </row>
    <row r="584" spans="1:6" outlineLevel="1" x14ac:dyDescent="0.25">
      <c r="A584" t="s">
        <v>101</v>
      </c>
      <c r="B584">
        <v>1440</v>
      </c>
      <c r="C584" s="17">
        <v>1.2</v>
      </c>
      <c r="D584" s="17">
        <v>0.26371261886168407</v>
      </c>
      <c r="E584" t="s">
        <v>131</v>
      </c>
      <c r="F584" t="s">
        <v>134</v>
      </c>
    </row>
    <row r="585" spans="1:6" outlineLevel="1" x14ac:dyDescent="0.25">
      <c r="A585" t="s">
        <v>101</v>
      </c>
      <c r="B585">
        <v>1440</v>
      </c>
      <c r="C585" s="17">
        <v>1.4</v>
      </c>
      <c r="D585" s="17">
        <v>0.28458266342046024</v>
      </c>
      <c r="E585" t="s">
        <v>131</v>
      </c>
      <c r="F585" t="s">
        <v>134</v>
      </c>
    </row>
    <row r="586" spans="1:6" outlineLevel="1" x14ac:dyDescent="0.25">
      <c r="A586" t="s">
        <v>101</v>
      </c>
      <c r="B586">
        <v>1440</v>
      </c>
      <c r="C586" s="17">
        <v>1.5999999999999999</v>
      </c>
      <c r="D586" s="17">
        <v>0.30545270797923646</v>
      </c>
      <c r="E586" t="s">
        <v>131</v>
      </c>
      <c r="F586" t="s">
        <v>134</v>
      </c>
    </row>
    <row r="587" spans="1:6" outlineLevel="1" x14ac:dyDescent="0.25">
      <c r="A587" t="s">
        <v>101</v>
      </c>
      <c r="B587">
        <v>1440</v>
      </c>
      <c r="C587" s="17">
        <v>1.7999999999999998</v>
      </c>
      <c r="D587" s="17">
        <v>0.32632275253801268</v>
      </c>
      <c r="E587" t="s">
        <v>131</v>
      </c>
      <c r="F587" t="s">
        <v>134</v>
      </c>
    </row>
    <row r="588" spans="1:6" outlineLevel="1" x14ac:dyDescent="0.25">
      <c r="A588" t="s">
        <v>101</v>
      </c>
      <c r="B588">
        <v>1440</v>
      </c>
      <c r="C588" s="17">
        <v>1.9999999999999998</v>
      </c>
      <c r="D588" s="17">
        <v>0.34719279709678891</v>
      </c>
      <c r="E588" t="s">
        <v>131</v>
      </c>
      <c r="F588" t="s">
        <v>134</v>
      </c>
    </row>
    <row r="589" spans="1:6" outlineLevel="1" x14ac:dyDescent="0.25">
      <c r="A589" t="s">
        <v>101</v>
      </c>
      <c r="B589">
        <v>1440</v>
      </c>
      <c r="C589" s="17">
        <v>2.1999999999999997</v>
      </c>
      <c r="D589" s="17">
        <v>0.36806284165556513</v>
      </c>
      <c r="E589" t="s">
        <v>131</v>
      </c>
      <c r="F589" t="s">
        <v>134</v>
      </c>
    </row>
    <row r="590" spans="1:6" outlineLevel="1" x14ac:dyDescent="0.25">
      <c r="A590" t="s">
        <v>101</v>
      </c>
      <c r="B590">
        <v>1440</v>
      </c>
      <c r="C590" s="17">
        <v>2.4</v>
      </c>
      <c r="D590" s="17">
        <v>0.38893288621434136</v>
      </c>
      <c r="E590" t="s">
        <v>131</v>
      </c>
      <c r="F590" t="s">
        <v>134</v>
      </c>
    </row>
    <row r="591" spans="1:6" outlineLevel="1" x14ac:dyDescent="0.25">
      <c r="A591" t="s">
        <v>101</v>
      </c>
      <c r="B591">
        <v>1440</v>
      </c>
      <c r="C591" s="17">
        <v>2.6</v>
      </c>
      <c r="D591" s="17">
        <v>0.99983830217281455</v>
      </c>
      <c r="E591" t="s">
        <v>131</v>
      </c>
      <c r="F591" t="s">
        <v>134</v>
      </c>
    </row>
    <row r="592" spans="1:6" outlineLevel="1" x14ac:dyDescent="0.25">
      <c r="A592" t="s">
        <v>101</v>
      </c>
      <c r="B592">
        <v>1440</v>
      </c>
      <c r="C592" s="17">
        <v>2.8000000000000003</v>
      </c>
      <c r="D592" s="17">
        <v>0.99983830217281455</v>
      </c>
      <c r="E592" t="s">
        <v>131</v>
      </c>
      <c r="F592" t="s">
        <v>134</v>
      </c>
    </row>
    <row r="593" spans="1:6" outlineLevel="1" x14ac:dyDescent="0.25">
      <c r="A593" t="s">
        <v>101</v>
      </c>
      <c r="B593">
        <v>1440</v>
      </c>
      <c r="C593" s="17">
        <v>3.0000000000000004</v>
      </c>
      <c r="D593" s="17">
        <v>0.99983830217281455</v>
      </c>
      <c r="E593" t="s">
        <v>131</v>
      </c>
      <c r="F593" t="s">
        <v>134</v>
      </c>
    </row>
    <row r="594" spans="1:6" outlineLevel="1" x14ac:dyDescent="0.25">
      <c r="A594" t="s">
        <v>101</v>
      </c>
      <c r="B594">
        <v>1440</v>
      </c>
      <c r="C594" s="17">
        <v>3.2000000000000006</v>
      </c>
      <c r="D594" s="17">
        <v>0.99983830217281455</v>
      </c>
      <c r="E594" t="s">
        <v>131</v>
      </c>
      <c r="F594" t="s">
        <v>134</v>
      </c>
    </row>
    <row r="595" spans="1:6" outlineLevel="1" x14ac:dyDescent="0.25">
      <c r="A595" t="s">
        <v>101</v>
      </c>
      <c r="B595">
        <v>1440</v>
      </c>
      <c r="C595" s="17">
        <v>3.4000000000000008</v>
      </c>
      <c r="D595" s="17">
        <v>0.99983830217281455</v>
      </c>
      <c r="E595" t="s">
        <v>131</v>
      </c>
      <c r="F595" t="s">
        <v>134</v>
      </c>
    </row>
    <row r="596" spans="1:6" outlineLevel="1" x14ac:dyDescent="0.25">
      <c r="A596" t="s">
        <v>101</v>
      </c>
      <c r="B596">
        <v>1440</v>
      </c>
      <c r="C596" s="17">
        <v>3.600000000000001</v>
      </c>
      <c r="D596" s="17">
        <v>0.99983830217281455</v>
      </c>
      <c r="E596" t="s">
        <v>131</v>
      </c>
      <c r="F596" t="s">
        <v>134</v>
      </c>
    </row>
    <row r="597" spans="1:6" outlineLevel="1" x14ac:dyDescent="0.25">
      <c r="A597" t="s">
        <v>101</v>
      </c>
      <c r="B597">
        <v>1440</v>
      </c>
      <c r="C597" s="17">
        <v>3.8000000000000012</v>
      </c>
      <c r="D597" s="17">
        <v>0.99983830217281455</v>
      </c>
      <c r="E597" t="s">
        <v>131</v>
      </c>
      <c r="F597" t="s">
        <v>134</v>
      </c>
    </row>
    <row r="598" spans="1:6" outlineLevel="1" x14ac:dyDescent="0.25">
      <c r="A598" t="s">
        <v>101</v>
      </c>
      <c r="B598">
        <v>1440</v>
      </c>
      <c r="C598" s="17">
        <v>4.0000000000000009</v>
      </c>
      <c r="D598" s="17">
        <v>0.99983830217281455</v>
      </c>
      <c r="E598" t="s">
        <v>131</v>
      </c>
      <c r="F598" t="s">
        <v>134</v>
      </c>
    </row>
    <row r="599" spans="1:6" ht="14.25" customHeight="1" outlineLevel="1" x14ac:dyDescent="0.25">
      <c r="A599" t="s">
        <v>102</v>
      </c>
      <c r="B599">
        <v>1441</v>
      </c>
      <c r="C599" s="17">
        <v>0</v>
      </c>
      <c r="D599" s="17">
        <v>0</v>
      </c>
      <c r="E599" t="s">
        <v>131</v>
      </c>
      <c r="F599" t="s">
        <v>134</v>
      </c>
    </row>
    <row r="600" spans="1:6" outlineLevel="1" x14ac:dyDescent="0.25">
      <c r="A600" t="s">
        <v>102</v>
      </c>
      <c r="B600">
        <v>1441</v>
      </c>
      <c r="C600" s="17">
        <v>0.2</v>
      </c>
      <c r="D600" s="17">
        <v>0.13724341917704078</v>
      </c>
      <c r="E600" t="s">
        <v>131</v>
      </c>
      <c r="F600" t="s">
        <v>134</v>
      </c>
    </row>
    <row r="601" spans="1:6" outlineLevel="1" x14ac:dyDescent="0.25">
      <c r="A601" t="s">
        <v>102</v>
      </c>
      <c r="B601">
        <v>1441</v>
      </c>
      <c r="C601" s="17">
        <v>0.4</v>
      </c>
      <c r="D601" s="17">
        <v>0.27448683835408155</v>
      </c>
      <c r="E601" t="s">
        <v>131</v>
      </c>
      <c r="F601" t="s">
        <v>134</v>
      </c>
    </row>
    <row r="602" spans="1:6" outlineLevel="1" x14ac:dyDescent="0.25">
      <c r="A602" t="s">
        <v>102</v>
      </c>
      <c r="B602">
        <v>1441</v>
      </c>
      <c r="C602" s="17">
        <v>0.60000000000000009</v>
      </c>
      <c r="D602" s="17">
        <v>0.31868115729181967</v>
      </c>
      <c r="E602" t="s">
        <v>131</v>
      </c>
      <c r="F602" t="s">
        <v>134</v>
      </c>
    </row>
    <row r="603" spans="1:6" outlineLevel="1" x14ac:dyDescent="0.25">
      <c r="A603" t="s">
        <v>102</v>
      </c>
      <c r="B603">
        <v>1441</v>
      </c>
      <c r="C603" s="17">
        <v>0.8</v>
      </c>
      <c r="D603" s="17">
        <v>0.37761343118536878</v>
      </c>
      <c r="E603" t="s">
        <v>131</v>
      </c>
      <c r="F603" t="s">
        <v>134</v>
      </c>
    </row>
    <row r="604" spans="1:6" outlineLevel="1" x14ac:dyDescent="0.25">
      <c r="A604" t="s">
        <v>102</v>
      </c>
      <c r="B604">
        <v>1441</v>
      </c>
      <c r="C604" s="17">
        <v>1</v>
      </c>
      <c r="D604" s="17">
        <v>0.39478816603745331</v>
      </c>
      <c r="E604" t="s">
        <v>131</v>
      </c>
      <c r="F604" t="s">
        <v>134</v>
      </c>
    </row>
    <row r="605" spans="1:6" outlineLevel="1" x14ac:dyDescent="0.25">
      <c r="A605" t="s">
        <v>102</v>
      </c>
      <c r="B605">
        <v>1441</v>
      </c>
      <c r="C605" s="17">
        <v>1.2</v>
      </c>
      <c r="D605" s="17">
        <v>0.41196290088953785</v>
      </c>
      <c r="E605" t="s">
        <v>131</v>
      </c>
      <c r="F605" t="s">
        <v>134</v>
      </c>
    </row>
    <row r="606" spans="1:6" outlineLevel="1" x14ac:dyDescent="0.25">
      <c r="A606" t="s">
        <v>102</v>
      </c>
      <c r="B606">
        <v>1441</v>
      </c>
      <c r="C606" s="17">
        <v>1.4</v>
      </c>
      <c r="D606" s="17">
        <v>0.42913763574162228</v>
      </c>
      <c r="E606" t="s">
        <v>131</v>
      </c>
      <c r="F606" t="s">
        <v>134</v>
      </c>
    </row>
    <row r="607" spans="1:6" outlineLevel="1" x14ac:dyDescent="0.25">
      <c r="A607" t="s">
        <v>102</v>
      </c>
      <c r="B607">
        <v>1441</v>
      </c>
      <c r="C607" s="17">
        <v>1.5999999999999999</v>
      </c>
      <c r="D607" s="17">
        <v>0.44631237059370671</v>
      </c>
      <c r="E607" t="s">
        <v>131</v>
      </c>
      <c r="F607" t="s">
        <v>134</v>
      </c>
    </row>
    <row r="608" spans="1:6" outlineLevel="1" x14ac:dyDescent="0.25">
      <c r="A608" t="s">
        <v>102</v>
      </c>
      <c r="B608">
        <v>1441</v>
      </c>
      <c r="C608" s="17">
        <v>1.7999999999999998</v>
      </c>
      <c r="D608" s="17">
        <v>0.46348710544579119</v>
      </c>
      <c r="E608" t="s">
        <v>131</v>
      </c>
      <c r="F608" t="s">
        <v>134</v>
      </c>
    </row>
    <row r="609" spans="1:6" outlineLevel="1" x14ac:dyDescent="0.25">
      <c r="A609" t="s">
        <v>102</v>
      </c>
      <c r="B609">
        <v>1441</v>
      </c>
      <c r="C609" s="17">
        <v>1.9999999999999998</v>
      </c>
      <c r="D609" s="17">
        <v>0.48066184029787556</v>
      </c>
      <c r="E609" t="s">
        <v>131</v>
      </c>
      <c r="F609" t="s">
        <v>134</v>
      </c>
    </row>
    <row r="610" spans="1:6" outlineLevel="1" x14ac:dyDescent="0.25">
      <c r="A610" t="s">
        <v>102</v>
      </c>
      <c r="B610">
        <v>1441</v>
      </c>
      <c r="C610" s="17">
        <v>2.1999999999999997</v>
      </c>
      <c r="D610" s="17">
        <v>0.49783657514996005</v>
      </c>
      <c r="E610" t="s">
        <v>131</v>
      </c>
      <c r="F610" t="s">
        <v>134</v>
      </c>
    </row>
    <row r="611" spans="1:6" outlineLevel="1" x14ac:dyDescent="0.25">
      <c r="A611" t="s">
        <v>102</v>
      </c>
      <c r="B611">
        <v>1441</v>
      </c>
      <c r="C611" s="17">
        <v>2.4</v>
      </c>
      <c r="D611" s="17">
        <v>0.56905047817335186</v>
      </c>
      <c r="E611" t="s">
        <v>131</v>
      </c>
      <c r="F611" t="s">
        <v>134</v>
      </c>
    </row>
    <row r="612" spans="1:6" outlineLevel="1" x14ac:dyDescent="0.25">
      <c r="A612" t="s">
        <v>102</v>
      </c>
      <c r="B612">
        <v>1441</v>
      </c>
      <c r="C612" s="17">
        <v>2.6</v>
      </c>
      <c r="D612" s="17">
        <v>0.99988596407868469</v>
      </c>
      <c r="E612" t="s">
        <v>131</v>
      </c>
      <c r="F612" t="s">
        <v>134</v>
      </c>
    </row>
    <row r="613" spans="1:6" outlineLevel="1" x14ac:dyDescent="0.25">
      <c r="A613" t="s">
        <v>102</v>
      </c>
      <c r="B613">
        <v>1441</v>
      </c>
      <c r="C613" s="17">
        <v>2.8000000000000003</v>
      </c>
      <c r="D613" s="17">
        <v>0.99988596407868469</v>
      </c>
      <c r="E613" t="s">
        <v>131</v>
      </c>
      <c r="F613" t="s">
        <v>134</v>
      </c>
    </row>
    <row r="614" spans="1:6" outlineLevel="1" x14ac:dyDescent="0.25">
      <c r="A614" t="s">
        <v>102</v>
      </c>
      <c r="B614">
        <v>1441</v>
      </c>
      <c r="C614" s="17">
        <v>3.0000000000000004</v>
      </c>
      <c r="D614" s="17">
        <v>0.99988596407868469</v>
      </c>
      <c r="E614" t="s">
        <v>131</v>
      </c>
      <c r="F614" t="s">
        <v>134</v>
      </c>
    </row>
    <row r="615" spans="1:6" outlineLevel="1" x14ac:dyDescent="0.25">
      <c r="A615" t="s">
        <v>102</v>
      </c>
      <c r="B615">
        <v>1441</v>
      </c>
      <c r="C615" s="17">
        <v>3.2000000000000006</v>
      </c>
      <c r="D615" s="17">
        <v>0.99988596407868469</v>
      </c>
      <c r="E615" t="s">
        <v>131</v>
      </c>
      <c r="F615" t="s">
        <v>134</v>
      </c>
    </row>
    <row r="616" spans="1:6" outlineLevel="1" x14ac:dyDescent="0.25">
      <c r="A616" t="s">
        <v>102</v>
      </c>
      <c r="B616">
        <v>1441</v>
      </c>
      <c r="C616" s="17">
        <v>3.4000000000000008</v>
      </c>
      <c r="D616" s="17">
        <v>0.99988596407868469</v>
      </c>
      <c r="E616" t="s">
        <v>131</v>
      </c>
      <c r="F616" t="s">
        <v>134</v>
      </c>
    </row>
    <row r="617" spans="1:6" outlineLevel="1" x14ac:dyDescent="0.25">
      <c r="A617" t="s">
        <v>102</v>
      </c>
      <c r="B617">
        <v>1441</v>
      </c>
      <c r="C617" s="17">
        <v>3.600000000000001</v>
      </c>
      <c r="D617" s="17">
        <v>0.99988596407868469</v>
      </c>
      <c r="E617" t="s">
        <v>131</v>
      </c>
      <c r="F617" t="s">
        <v>134</v>
      </c>
    </row>
    <row r="618" spans="1:6" ht="15.75" customHeight="1" outlineLevel="1" x14ac:dyDescent="0.25">
      <c r="A618" t="s">
        <v>102</v>
      </c>
      <c r="B618">
        <v>1441</v>
      </c>
      <c r="C618" s="17">
        <v>3.8000000000000012</v>
      </c>
      <c r="D618" s="17">
        <v>0.99988596407868469</v>
      </c>
      <c r="E618" t="s">
        <v>131</v>
      </c>
      <c r="F618" t="s">
        <v>134</v>
      </c>
    </row>
    <row r="619" spans="1:6" outlineLevel="1" x14ac:dyDescent="0.25">
      <c r="A619" t="s">
        <v>102</v>
      </c>
      <c r="B619">
        <v>1441</v>
      </c>
      <c r="C619" s="17">
        <v>4.0000000000000009</v>
      </c>
      <c r="D619" s="17">
        <v>0.99988596407868469</v>
      </c>
      <c r="E619" t="s">
        <v>131</v>
      </c>
      <c r="F619" t="s">
        <v>134</v>
      </c>
    </row>
    <row r="620" spans="1:6" outlineLevel="1" x14ac:dyDescent="0.25">
      <c r="A620" s="16" t="s">
        <v>108</v>
      </c>
      <c r="B620" s="16">
        <v>2341</v>
      </c>
      <c r="C620" s="16">
        <v>0</v>
      </c>
      <c r="D620" s="17">
        <v>0</v>
      </c>
      <c r="E620" t="s">
        <v>132</v>
      </c>
    </row>
    <row r="621" spans="1:6" outlineLevel="1" x14ac:dyDescent="0.25">
      <c r="A621" s="16" t="s">
        <v>108</v>
      </c>
      <c r="B621" s="16">
        <v>2341</v>
      </c>
      <c r="C621" s="16">
        <v>50</v>
      </c>
      <c r="D621" s="17">
        <v>0</v>
      </c>
      <c r="E621" t="s">
        <v>132</v>
      </c>
    </row>
    <row r="622" spans="1:6" outlineLevel="1" x14ac:dyDescent="0.25">
      <c r="A622" s="16" t="s">
        <v>108</v>
      </c>
      <c r="B622" s="16">
        <v>2341</v>
      </c>
      <c r="C622" s="16">
        <v>100</v>
      </c>
      <c r="D622" s="17">
        <v>0</v>
      </c>
      <c r="E622" t="s">
        <v>132</v>
      </c>
    </row>
    <row r="623" spans="1:6" outlineLevel="1" x14ac:dyDescent="0.25">
      <c r="A623" s="16" t="s">
        <v>108</v>
      </c>
      <c r="B623" s="16">
        <v>2341</v>
      </c>
      <c r="C623" s="16">
        <v>150</v>
      </c>
      <c r="D623" s="17">
        <v>0.02</v>
      </c>
      <c r="E623" t="s">
        <v>132</v>
      </c>
    </row>
    <row r="624" spans="1:6" outlineLevel="1" x14ac:dyDescent="0.25">
      <c r="A624" s="16" t="s">
        <v>108</v>
      </c>
      <c r="B624" s="16">
        <v>2341</v>
      </c>
      <c r="C624" s="16">
        <v>200</v>
      </c>
      <c r="D624" s="17">
        <v>0.1</v>
      </c>
      <c r="E624" t="s">
        <v>132</v>
      </c>
    </row>
    <row r="625" spans="1:5" outlineLevel="1" x14ac:dyDescent="0.25">
      <c r="A625" s="16" t="s">
        <v>108</v>
      </c>
      <c r="B625" s="16">
        <v>2341</v>
      </c>
      <c r="C625" s="16">
        <v>250</v>
      </c>
      <c r="D625" s="17">
        <v>0.21</v>
      </c>
      <c r="E625" t="s">
        <v>132</v>
      </c>
    </row>
    <row r="626" spans="1:5" outlineLevel="1" x14ac:dyDescent="0.25">
      <c r="A626" s="16" t="s">
        <v>108</v>
      </c>
      <c r="B626" s="16">
        <v>2341</v>
      </c>
      <c r="C626" s="16">
        <v>300</v>
      </c>
      <c r="D626" s="17">
        <v>0.35</v>
      </c>
      <c r="E626" t="s">
        <v>132</v>
      </c>
    </row>
    <row r="627" spans="1:5" outlineLevel="1" x14ac:dyDescent="0.25">
      <c r="A627" s="16" t="s">
        <v>108</v>
      </c>
      <c r="B627" s="16">
        <v>2341</v>
      </c>
      <c r="C627" s="16">
        <v>350</v>
      </c>
      <c r="D627" s="17">
        <v>0.78</v>
      </c>
      <c r="E627" t="s">
        <v>132</v>
      </c>
    </row>
    <row r="628" spans="1:5" outlineLevel="1" x14ac:dyDescent="0.25">
      <c r="A628" s="16" t="s">
        <v>108</v>
      </c>
      <c r="B628" s="16">
        <v>2341</v>
      </c>
      <c r="C628" s="16">
        <v>400</v>
      </c>
      <c r="D628" s="17">
        <v>1</v>
      </c>
      <c r="E628" t="s">
        <v>132</v>
      </c>
    </row>
    <row r="629" spans="1:5" outlineLevel="1" x14ac:dyDescent="0.25">
      <c r="A629" s="16" t="s">
        <v>109</v>
      </c>
      <c r="B629" s="16">
        <v>2342</v>
      </c>
      <c r="C629" s="16">
        <v>0</v>
      </c>
      <c r="D629" s="17">
        <v>0</v>
      </c>
      <c r="E629" t="s">
        <v>132</v>
      </c>
    </row>
    <row r="630" spans="1:5" outlineLevel="1" x14ac:dyDescent="0.25">
      <c r="A630" s="16" t="s">
        <v>109</v>
      </c>
      <c r="B630" s="16">
        <v>2342</v>
      </c>
      <c r="C630" s="16">
        <v>50</v>
      </c>
      <c r="D630" s="17">
        <v>0</v>
      </c>
      <c r="E630" t="s">
        <v>132</v>
      </c>
    </row>
    <row r="631" spans="1:5" outlineLevel="1" x14ac:dyDescent="0.25">
      <c r="A631" s="16" t="s">
        <v>109</v>
      </c>
      <c r="B631" s="16">
        <v>2342</v>
      </c>
      <c r="C631" s="16">
        <v>100</v>
      </c>
      <c r="D631" s="17">
        <v>0</v>
      </c>
      <c r="E631" t="s">
        <v>132</v>
      </c>
    </row>
    <row r="632" spans="1:5" outlineLevel="1" x14ac:dyDescent="0.25">
      <c r="A632" s="16" t="s">
        <v>109</v>
      </c>
      <c r="B632" s="16">
        <v>2342</v>
      </c>
      <c r="C632" s="16">
        <v>150</v>
      </c>
      <c r="D632" s="17">
        <v>0.01</v>
      </c>
      <c r="E632" t="s">
        <v>132</v>
      </c>
    </row>
    <row r="633" spans="1:5" outlineLevel="1" x14ac:dyDescent="0.25">
      <c r="A633" s="16" t="s">
        <v>109</v>
      </c>
      <c r="B633" s="16">
        <v>2342</v>
      </c>
      <c r="C633" s="16">
        <v>200</v>
      </c>
      <c r="D633" s="17">
        <v>0.08</v>
      </c>
      <c r="E633" t="s">
        <v>132</v>
      </c>
    </row>
    <row r="634" spans="1:5" outlineLevel="1" x14ac:dyDescent="0.25">
      <c r="A634" s="16" t="s">
        <v>109</v>
      </c>
      <c r="B634" s="16">
        <v>2342</v>
      </c>
      <c r="C634" s="16">
        <v>250</v>
      </c>
      <c r="D634" s="17">
        <v>0.18</v>
      </c>
      <c r="E634" t="s">
        <v>132</v>
      </c>
    </row>
    <row r="635" spans="1:5" outlineLevel="1" x14ac:dyDescent="0.25">
      <c r="A635" s="16" t="s">
        <v>109</v>
      </c>
      <c r="B635" s="16">
        <v>2342</v>
      </c>
      <c r="C635" s="16">
        <v>300</v>
      </c>
      <c r="D635" s="17">
        <v>0.32</v>
      </c>
      <c r="E635" t="s">
        <v>132</v>
      </c>
    </row>
    <row r="636" spans="1:5" outlineLevel="1" x14ac:dyDescent="0.25">
      <c r="A636" s="16" t="s">
        <v>109</v>
      </c>
      <c r="B636" s="16">
        <v>2342</v>
      </c>
      <c r="C636" s="16">
        <v>350</v>
      </c>
      <c r="D636" s="17">
        <v>0.74</v>
      </c>
      <c r="E636" t="s">
        <v>132</v>
      </c>
    </row>
    <row r="637" spans="1:5" outlineLevel="1" x14ac:dyDescent="0.25">
      <c r="A637" s="16" t="s">
        <v>109</v>
      </c>
      <c r="B637" s="16">
        <v>2342</v>
      </c>
      <c r="C637" s="16">
        <v>400</v>
      </c>
      <c r="D637" s="17">
        <v>1</v>
      </c>
      <c r="E637" t="s">
        <v>132</v>
      </c>
    </row>
    <row r="638" spans="1:5" outlineLevel="1" x14ac:dyDescent="0.25">
      <c r="A638" s="16" t="s">
        <v>110</v>
      </c>
      <c r="B638" s="16">
        <v>2343</v>
      </c>
      <c r="C638" s="16">
        <v>0</v>
      </c>
      <c r="D638" s="17">
        <v>0</v>
      </c>
      <c r="E638" t="s">
        <v>132</v>
      </c>
    </row>
    <row r="639" spans="1:5" outlineLevel="1" x14ac:dyDescent="0.25">
      <c r="A639" s="16" t="s">
        <v>110</v>
      </c>
      <c r="B639" s="16">
        <v>2343</v>
      </c>
      <c r="C639" s="16">
        <v>50</v>
      </c>
      <c r="D639" s="17">
        <v>0</v>
      </c>
      <c r="E639" t="s">
        <v>132</v>
      </c>
    </row>
    <row r="640" spans="1:5" outlineLevel="1" x14ac:dyDescent="0.25">
      <c r="A640" s="16" t="s">
        <v>110</v>
      </c>
      <c r="B640" s="16">
        <v>2343</v>
      </c>
      <c r="C640" s="16">
        <v>100</v>
      </c>
      <c r="D640" s="17">
        <v>0</v>
      </c>
      <c r="E640" t="s">
        <v>132</v>
      </c>
    </row>
    <row r="641" spans="1:5" outlineLevel="1" x14ac:dyDescent="0.25">
      <c r="A641" s="16" t="s">
        <v>110</v>
      </c>
      <c r="B641" s="16">
        <v>2343</v>
      </c>
      <c r="C641" s="16">
        <v>150</v>
      </c>
      <c r="D641" s="17">
        <v>0.03</v>
      </c>
      <c r="E641" t="s">
        <v>132</v>
      </c>
    </row>
    <row r="642" spans="1:5" outlineLevel="1" x14ac:dyDescent="0.25">
      <c r="A642" s="16" t="s">
        <v>110</v>
      </c>
      <c r="B642" s="16">
        <v>2343</v>
      </c>
      <c r="C642" s="16">
        <v>200</v>
      </c>
      <c r="D642" s="17">
        <v>0.12</v>
      </c>
      <c r="E642" t="s">
        <v>132</v>
      </c>
    </row>
    <row r="643" spans="1:5" outlineLevel="1" x14ac:dyDescent="0.25">
      <c r="A643" s="16" t="s">
        <v>110</v>
      </c>
      <c r="B643" s="16">
        <v>2343</v>
      </c>
      <c r="C643" s="16">
        <v>250</v>
      </c>
      <c r="D643" s="17">
        <v>0.25</v>
      </c>
      <c r="E643" t="s">
        <v>132</v>
      </c>
    </row>
    <row r="644" spans="1:5" outlineLevel="1" x14ac:dyDescent="0.25">
      <c r="A644" s="16" t="s">
        <v>110</v>
      </c>
      <c r="B644" s="16">
        <v>2343</v>
      </c>
      <c r="C644" s="16">
        <v>300</v>
      </c>
      <c r="D644" s="17">
        <v>0.45</v>
      </c>
      <c r="E644" t="s">
        <v>132</v>
      </c>
    </row>
    <row r="645" spans="1:5" outlineLevel="1" x14ac:dyDescent="0.25">
      <c r="A645" s="16" t="s">
        <v>110</v>
      </c>
      <c r="B645" s="16">
        <v>2343</v>
      </c>
      <c r="C645" s="16">
        <v>350</v>
      </c>
      <c r="D645" s="17">
        <v>0.9</v>
      </c>
      <c r="E645" t="s">
        <v>132</v>
      </c>
    </row>
    <row r="646" spans="1:5" outlineLevel="1" x14ac:dyDescent="0.25">
      <c r="A646" s="16" t="s">
        <v>110</v>
      </c>
      <c r="B646" s="16">
        <v>2343</v>
      </c>
      <c r="C646" s="16">
        <v>400</v>
      </c>
      <c r="D646" s="17">
        <v>1</v>
      </c>
      <c r="E646" t="s">
        <v>132</v>
      </c>
    </row>
    <row r="647" spans="1:5" outlineLevel="1" x14ac:dyDescent="0.25">
      <c r="A647" s="16" t="s">
        <v>111</v>
      </c>
      <c r="B647" s="16">
        <v>2344</v>
      </c>
      <c r="C647" s="16">
        <v>0</v>
      </c>
      <c r="D647" s="17">
        <v>0</v>
      </c>
      <c r="E647" t="s">
        <v>132</v>
      </c>
    </row>
    <row r="648" spans="1:5" outlineLevel="1" x14ac:dyDescent="0.25">
      <c r="A648" s="16" t="s">
        <v>111</v>
      </c>
      <c r="B648" s="16">
        <v>2344</v>
      </c>
      <c r="C648" s="16">
        <v>50</v>
      </c>
      <c r="D648" s="17">
        <v>0</v>
      </c>
      <c r="E648" t="s">
        <v>132</v>
      </c>
    </row>
    <row r="649" spans="1:5" outlineLevel="1" x14ac:dyDescent="0.25">
      <c r="A649" s="16" t="s">
        <v>111</v>
      </c>
      <c r="B649" s="16">
        <v>2344</v>
      </c>
      <c r="C649" s="16">
        <v>100</v>
      </c>
      <c r="D649" s="17">
        <v>0</v>
      </c>
      <c r="E649" t="s">
        <v>132</v>
      </c>
    </row>
    <row r="650" spans="1:5" outlineLevel="1" x14ac:dyDescent="0.25">
      <c r="A650" s="16" t="s">
        <v>111</v>
      </c>
      <c r="B650" s="16">
        <v>2344</v>
      </c>
      <c r="C650" s="16">
        <v>150</v>
      </c>
      <c r="D650" s="17">
        <v>0</v>
      </c>
      <c r="E650" t="s">
        <v>132</v>
      </c>
    </row>
    <row r="651" spans="1:5" outlineLevel="1" x14ac:dyDescent="0.25">
      <c r="A651" s="16" t="s">
        <v>111</v>
      </c>
      <c r="B651" s="16">
        <v>2344</v>
      </c>
      <c r="C651" s="16">
        <v>200</v>
      </c>
      <c r="D651" s="17">
        <v>0.05</v>
      </c>
      <c r="E651" t="s">
        <v>132</v>
      </c>
    </row>
    <row r="652" spans="1:5" outlineLevel="1" x14ac:dyDescent="0.25">
      <c r="A652" s="16" t="s">
        <v>111</v>
      </c>
      <c r="B652" s="16">
        <v>2344</v>
      </c>
      <c r="C652" s="16">
        <v>250</v>
      </c>
      <c r="D652" s="17">
        <v>0.14000000000000001</v>
      </c>
      <c r="E652" t="s">
        <v>132</v>
      </c>
    </row>
    <row r="653" spans="1:5" outlineLevel="1" x14ac:dyDescent="0.25">
      <c r="A653" s="16" t="s">
        <v>111</v>
      </c>
      <c r="B653" s="16">
        <v>2344</v>
      </c>
      <c r="C653" s="16">
        <v>300</v>
      </c>
      <c r="D653" s="17">
        <v>0.27</v>
      </c>
      <c r="E653" t="s">
        <v>132</v>
      </c>
    </row>
    <row r="654" spans="1:5" outlineLevel="1" x14ac:dyDescent="0.25">
      <c r="A654" s="16" t="s">
        <v>111</v>
      </c>
      <c r="B654" s="16">
        <v>2344</v>
      </c>
      <c r="C654" s="16">
        <v>350</v>
      </c>
      <c r="D654" s="17">
        <v>0.67</v>
      </c>
      <c r="E654" t="s">
        <v>132</v>
      </c>
    </row>
    <row r="655" spans="1:5" outlineLevel="1" x14ac:dyDescent="0.25">
      <c r="A655" s="16" t="s">
        <v>111</v>
      </c>
      <c r="B655" s="16">
        <v>2344</v>
      </c>
      <c r="C655" s="16">
        <v>400</v>
      </c>
      <c r="D655" s="17">
        <v>1</v>
      </c>
      <c r="E655" t="s">
        <v>132</v>
      </c>
    </row>
    <row r="656" spans="1:5" outlineLevel="1" x14ac:dyDescent="0.25">
      <c r="A656" s="16" t="s">
        <v>112</v>
      </c>
      <c r="B656" s="16">
        <v>2345</v>
      </c>
      <c r="C656" s="16">
        <v>0</v>
      </c>
      <c r="D656" s="17">
        <v>0</v>
      </c>
      <c r="E656" t="s">
        <v>132</v>
      </c>
    </row>
    <row r="657" spans="1:5" outlineLevel="1" x14ac:dyDescent="0.25">
      <c r="A657" s="16" t="s">
        <v>112</v>
      </c>
      <c r="B657" s="16">
        <v>2345</v>
      </c>
      <c r="C657" s="16">
        <v>50</v>
      </c>
      <c r="D657" s="17">
        <v>0</v>
      </c>
      <c r="E657" t="s">
        <v>132</v>
      </c>
    </row>
    <row r="658" spans="1:5" outlineLevel="1" x14ac:dyDescent="0.25">
      <c r="A658" s="16" t="s">
        <v>112</v>
      </c>
      <c r="B658" s="16">
        <v>2345</v>
      </c>
      <c r="C658" s="16">
        <v>100</v>
      </c>
      <c r="D658" s="17">
        <v>0</v>
      </c>
      <c r="E658" t="s">
        <v>132</v>
      </c>
    </row>
    <row r="659" spans="1:5" outlineLevel="1" x14ac:dyDescent="0.25">
      <c r="A659" s="16" t="s">
        <v>112</v>
      </c>
      <c r="B659" s="16">
        <v>2345</v>
      </c>
      <c r="C659" s="16">
        <v>150</v>
      </c>
      <c r="D659" s="17">
        <v>0</v>
      </c>
      <c r="E659" t="s">
        <v>132</v>
      </c>
    </row>
    <row r="660" spans="1:5" outlineLevel="1" x14ac:dyDescent="0.25">
      <c r="A660" s="16" t="s">
        <v>112</v>
      </c>
      <c r="B660" s="16">
        <v>2345</v>
      </c>
      <c r="C660" s="16">
        <v>200</v>
      </c>
      <c r="D660" s="17">
        <v>0.04</v>
      </c>
      <c r="E660" t="s">
        <v>132</v>
      </c>
    </row>
    <row r="661" spans="1:5" outlineLevel="1" x14ac:dyDescent="0.25">
      <c r="A661" s="16" t="s">
        <v>112</v>
      </c>
      <c r="B661" s="16">
        <v>2345</v>
      </c>
      <c r="C661" s="16">
        <v>250</v>
      </c>
      <c r="D661" s="17">
        <v>0.12</v>
      </c>
      <c r="E661" t="s">
        <v>132</v>
      </c>
    </row>
    <row r="662" spans="1:5" outlineLevel="1" x14ac:dyDescent="0.25">
      <c r="A662" s="16" t="s">
        <v>112</v>
      </c>
      <c r="B662" s="16">
        <v>2345</v>
      </c>
      <c r="C662" s="16">
        <v>300</v>
      </c>
      <c r="D662" s="17">
        <v>0.25</v>
      </c>
      <c r="E662" t="s">
        <v>132</v>
      </c>
    </row>
    <row r="663" spans="1:5" outlineLevel="1" x14ac:dyDescent="0.25">
      <c r="A663" s="16" t="s">
        <v>112</v>
      </c>
      <c r="B663" s="16">
        <v>2345</v>
      </c>
      <c r="C663" s="16">
        <v>350</v>
      </c>
      <c r="D663" s="17">
        <v>0.62</v>
      </c>
      <c r="E663" t="s">
        <v>132</v>
      </c>
    </row>
    <row r="664" spans="1:5" outlineLevel="1" x14ac:dyDescent="0.25">
      <c r="A664" s="16" t="s">
        <v>112</v>
      </c>
      <c r="B664" s="16">
        <v>2345</v>
      </c>
      <c r="C664" s="16">
        <v>400</v>
      </c>
      <c r="D664" s="17">
        <v>1</v>
      </c>
      <c r="E664" t="s">
        <v>132</v>
      </c>
    </row>
    <row r="665" spans="1:5" outlineLevel="1" x14ac:dyDescent="0.25">
      <c r="A665" s="16" t="s">
        <v>113</v>
      </c>
      <c r="B665" s="16">
        <v>2346</v>
      </c>
      <c r="C665" s="16">
        <v>0</v>
      </c>
      <c r="D665" s="17">
        <v>0</v>
      </c>
      <c r="E665" t="s">
        <v>132</v>
      </c>
    </row>
    <row r="666" spans="1:5" outlineLevel="1" x14ac:dyDescent="0.25">
      <c r="A666" s="16" t="s">
        <v>113</v>
      </c>
      <c r="B666" s="16">
        <v>2346</v>
      </c>
      <c r="C666" s="16">
        <v>50</v>
      </c>
      <c r="D666" s="17">
        <v>0</v>
      </c>
      <c r="E666" t="s">
        <v>132</v>
      </c>
    </row>
    <row r="667" spans="1:5" outlineLevel="1" x14ac:dyDescent="0.25">
      <c r="A667" s="16" t="s">
        <v>113</v>
      </c>
      <c r="B667" s="16">
        <v>2346</v>
      </c>
      <c r="C667" s="16">
        <v>100</v>
      </c>
      <c r="D667" s="17">
        <v>0</v>
      </c>
      <c r="E667" t="s">
        <v>132</v>
      </c>
    </row>
    <row r="668" spans="1:5" outlineLevel="1" x14ac:dyDescent="0.25">
      <c r="A668" s="16" t="s">
        <v>113</v>
      </c>
      <c r="B668" s="16">
        <v>2346</v>
      </c>
      <c r="C668" s="16">
        <v>150</v>
      </c>
      <c r="D668" s="17">
        <v>1.2E-2</v>
      </c>
      <c r="E668" t="s">
        <v>132</v>
      </c>
    </row>
    <row r="669" spans="1:5" outlineLevel="1" x14ac:dyDescent="0.25">
      <c r="A669" s="16" t="s">
        <v>113</v>
      </c>
      <c r="B669" s="16">
        <v>2346</v>
      </c>
      <c r="C669" s="16">
        <v>200</v>
      </c>
      <c r="D669" s="17">
        <v>7.7999999999999986E-2</v>
      </c>
      <c r="E669" t="s">
        <v>132</v>
      </c>
    </row>
    <row r="670" spans="1:5" outlineLevel="1" x14ac:dyDescent="0.25">
      <c r="A670" s="16" t="s">
        <v>113</v>
      </c>
      <c r="B670" s="16">
        <v>2346</v>
      </c>
      <c r="C670" s="16">
        <v>250</v>
      </c>
      <c r="D670" s="17">
        <v>0.18</v>
      </c>
      <c r="E670" t="s">
        <v>132</v>
      </c>
    </row>
    <row r="671" spans="1:5" outlineLevel="1" x14ac:dyDescent="0.25">
      <c r="A671" s="16" t="s">
        <v>113</v>
      </c>
      <c r="B671" s="16">
        <v>2346</v>
      </c>
      <c r="C671" s="16">
        <v>300</v>
      </c>
      <c r="D671" s="17">
        <v>0.32799999999999996</v>
      </c>
      <c r="E671" t="s">
        <v>132</v>
      </c>
    </row>
    <row r="672" spans="1:5" outlineLevel="1" x14ac:dyDescent="0.25">
      <c r="A672" s="16" t="s">
        <v>113</v>
      </c>
      <c r="B672" s="16">
        <v>2346</v>
      </c>
      <c r="C672" s="16">
        <v>350</v>
      </c>
      <c r="D672" s="17">
        <v>0.74199999999999999</v>
      </c>
      <c r="E672" t="s">
        <v>132</v>
      </c>
    </row>
    <row r="673" spans="1:5" outlineLevel="1" x14ac:dyDescent="0.25">
      <c r="A673" s="16" t="s">
        <v>113</v>
      </c>
      <c r="B673" s="16">
        <v>2346</v>
      </c>
      <c r="C673" s="16">
        <v>400</v>
      </c>
      <c r="D673" s="17">
        <v>1</v>
      </c>
      <c r="E673" t="s">
        <v>132</v>
      </c>
    </row>
    <row r="674" spans="1:5" outlineLevel="1" x14ac:dyDescent="0.25">
      <c r="A674" s="16" t="s">
        <v>114</v>
      </c>
      <c r="B674" s="16">
        <v>2350</v>
      </c>
      <c r="C674" s="16">
        <v>0</v>
      </c>
      <c r="D674" s="17">
        <v>0</v>
      </c>
      <c r="E674" t="s">
        <v>132</v>
      </c>
    </row>
    <row r="675" spans="1:5" outlineLevel="1" x14ac:dyDescent="0.25">
      <c r="A675" s="16" t="s">
        <v>114</v>
      </c>
      <c r="B675" s="16">
        <v>2350</v>
      </c>
      <c r="C675" s="16">
        <v>50</v>
      </c>
      <c r="D675" s="17">
        <v>0</v>
      </c>
      <c r="E675" t="s">
        <v>132</v>
      </c>
    </row>
    <row r="676" spans="1:5" outlineLevel="1" x14ac:dyDescent="0.25">
      <c r="A676" s="16" t="s">
        <v>114</v>
      </c>
      <c r="B676" s="16">
        <v>2350</v>
      </c>
      <c r="C676" s="16">
        <v>100</v>
      </c>
      <c r="D676" s="17">
        <v>0</v>
      </c>
      <c r="E676" t="s">
        <v>132</v>
      </c>
    </row>
    <row r="677" spans="1:5" outlineLevel="1" x14ac:dyDescent="0.25">
      <c r="A677" s="16" t="s">
        <v>114</v>
      </c>
      <c r="B677" s="16">
        <v>2350</v>
      </c>
      <c r="C677" s="16">
        <v>150</v>
      </c>
      <c r="D677" s="17">
        <v>0.03</v>
      </c>
      <c r="E677" t="s">
        <v>132</v>
      </c>
    </row>
    <row r="678" spans="1:5" outlineLevel="1" x14ac:dyDescent="0.25">
      <c r="A678" s="16" t="s">
        <v>114</v>
      </c>
      <c r="B678" s="16">
        <v>2350</v>
      </c>
      <c r="C678" s="16">
        <v>200</v>
      </c>
      <c r="D678" s="17">
        <v>0.09</v>
      </c>
      <c r="E678" t="s">
        <v>132</v>
      </c>
    </row>
    <row r="679" spans="1:5" outlineLevel="1" x14ac:dyDescent="0.25">
      <c r="A679" s="16" t="s">
        <v>114</v>
      </c>
      <c r="B679" s="16">
        <v>2350</v>
      </c>
      <c r="C679" s="16">
        <v>250</v>
      </c>
      <c r="D679" s="17">
        <v>0.16</v>
      </c>
      <c r="E679" t="s">
        <v>132</v>
      </c>
    </row>
    <row r="680" spans="1:5" outlineLevel="1" x14ac:dyDescent="0.25">
      <c r="A680" s="16" t="s">
        <v>114</v>
      </c>
      <c r="B680" s="16">
        <v>2350</v>
      </c>
      <c r="C680" s="16">
        <v>300</v>
      </c>
      <c r="D680" s="17">
        <v>0.5</v>
      </c>
      <c r="E680" t="s">
        <v>132</v>
      </c>
    </row>
    <row r="681" spans="1:5" outlineLevel="1" x14ac:dyDescent="0.25">
      <c r="A681" s="16" t="s">
        <v>114</v>
      </c>
      <c r="B681" s="16">
        <v>2350</v>
      </c>
      <c r="C681" s="16">
        <v>350</v>
      </c>
      <c r="D681" s="17">
        <v>0.85</v>
      </c>
      <c r="E681" t="s">
        <v>132</v>
      </c>
    </row>
    <row r="682" spans="1:5" outlineLevel="1" x14ac:dyDescent="0.25">
      <c r="A682" s="16" t="s">
        <v>114</v>
      </c>
      <c r="B682" s="16">
        <v>2350</v>
      </c>
      <c r="C682" s="16">
        <v>400</v>
      </c>
      <c r="D682" s="17">
        <v>1</v>
      </c>
      <c r="E682" t="s">
        <v>132</v>
      </c>
    </row>
    <row r="683" spans="1:5" outlineLevel="1" x14ac:dyDescent="0.25">
      <c r="A683" s="16" t="s">
        <v>115</v>
      </c>
      <c r="B683" s="16">
        <v>2360</v>
      </c>
      <c r="C683" s="16">
        <v>0</v>
      </c>
      <c r="D683" s="17">
        <v>0</v>
      </c>
      <c r="E683" t="s">
        <v>132</v>
      </c>
    </row>
    <row r="684" spans="1:5" outlineLevel="1" x14ac:dyDescent="0.25">
      <c r="A684" s="16" t="s">
        <v>115</v>
      </c>
      <c r="B684" s="16">
        <v>2360</v>
      </c>
      <c r="C684" s="16">
        <v>50</v>
      </c>
      <c r="D684" s="17">
        <v>0</v>
      </c>
      <c r="E684" t="s">
        <v>132</v>
      </c>
    </row>
    <row r="685" spans="1:5" outlineLevel="1" x14ac:dyDescent="0.25">
      <c r="A685" s="16" t="s">
        <v>115</v>
      </c>
      <c r="B685" s="16">
        <v>2360</v>
      </c>
      <c r="C685" s="16">
        <v>100</v>
      </c>
      <c r="D685" s="17">
        <v>0</v>
      </c>
      <c r="E685" t="s">
        <v>132</v>
      </c>
    </row>
    <row r="686" spans="1:5" outlineLevel="1" x14ac:dyDescent="0.25">
      <c r="A686" s="16" t="s">
        <v>115</v>
      </c>
      <c r="B686" s="16">
        <v>2360</v>
      </c>
      <c r="C686" s="16">
        <v>150</v>
      </c>
      <c r="D686" s="17">
        <v>0.02</v>
      </c>
      <c r="E686" t="s">
        <v>132</v>
      </c>
    </row>
    <row r="687" spans="1:5" outlineLevel="1" x14ac:dyDescent="0.25">
      <c r="A687" s="16" t="s">
        <v>115</v>
      </c>
      <c r="B687" s="16">
        <v>2360</v>
      </c>
      <c r="C687" s="16">
        <v>200</v>
      </c>
      <c r="D687" s="17">
        <v>7.0000000000000007E-2</v>
      </c>
      <c r="E687" t="s">
        <v>132</v>
      </c>
    </row>
    <row r="688" spans="1:5" outlineLevel="1" x14ac:dyDescent="0.25">
      <c r="A688" s="16" t="s">
        <v>115</v>
      </c>
      <c r="B688" s="16">
        <v>2360</v>
      </c>
      <c r="C688" s="16">
        <v>250</v>
      </c>
      <c r="D688" s="17">
        <v>0.12</v>
      </c>
      <c r="E688" t="s">
        <v>132</v>
      </c>
    </row>
    <row r="689" spans="1:5" outlineLevel="1" x14ac:dyDescent="0.25">
      <c r="A689" s="16" t="s">
        <v>115</v>
      </c>
      <c r="B689" s="16">
        <v>2360</v>
      </c>
      <c r="C689" s="16">
        <v>300</v>
      </c>
      <c r="D689" s="17">
        <v>0.4</v>
      </c>
      <c r="E689" t="s">
        <v>132</v>
      </c>
    </row>
    <row r="690" spans="1:5" outlineLevel="1" x14ac:dyDescent="0.25">
      <c r="A690" s="16" t="s">
        <v>115</v>
      </c>
      <c r="B690" s="16">
        <v>2360</v>
      </c>
      <c r="C690" s="16">
        <v>350</v>
      </c>
      <c r="D690" s="17">
        <v>0.81</v>
      </c>
      <c r="E690" t="s">
        <v>132</v>
      </c>
    </row>
    <row r="691" spans="1:5" outlineLevel="1" x14ac:dyDescent="0.25">
      <c r="A691" s="16" t="s">
        <v>115</v>
      </c>
      <c r="B691" s="16">
        <v>2360</v>
      </c>
      <c r="C691" s="16">
        <v>400</v>
      </c>
      <c r="D691" s="17">
        <v>1</v>
      </c>
      <c r="E691" t="s">
        <v>132</v>
      </c>
    </row>
    <row r="692" spans="1:5" outlineLevel="1" x14ac:dyDescent="0.25">
      <c r="A692" s="16" t="s">
        <v>116</v>
      </c>
      <c r="B692" s="16">
        <v>2370</v>
      </c>
      <c r="C692" s="16">
        <v>0</v>
      </c>
      <c r="D692" s="17">
        <v>0</v>
      </c>
      <c r="E692" t="s">
        <v>132</v>
      </c>
    </row>
    <row r="693" spans="1:5" outlineLevel="1" x14ac:dyDescent="0.25">
      <c r="A693" s="16" t="s">
        <v>116</v>
      </c>
      <c r="B693" s="16">
        <v>2370</v>
      </c>
      <c r="C693" s="16">
        <v>50</v>
      </c>
      <c r="D693" s="17">
        <v>0</v>
      </c>
      <c r="E693" t="s">
        <v>132</v>
      </c>
    </row>
    <row r="694" spans="1:5" outlineLevel="1" x14ac:dyDescent="0.25">
      <c r="A694" s="16" t="s">
        <v>116</v>
      </c>
      <c r="B694" s="16">
        <v>2370</v>
      </c>
      <c r="C694" s="16">
        <v>100</v>
      </c>
      <c r="D694" s="17">
        <v>0</v>
      </c>
      <c r="E694" t="s">
        <v>132</v>
      </c>
    </row>
    <row r="695" spans="1:5" outlineLevel="1" x14ac:dyDescent="0.25">
      <c r="A695" s="16" t="s">
        <v>116</v>
      </c>
      <c r="B695" s="16">
        <v>2370</v>
      </c>
      <c r="C695" s="16">
        <v>150</v>
      </c>
      <c r="D695" s="17">
        <v>0.01</v>
      </c>
      <c r="E695" t="s">
        <v>132</v>
      </c>
    </row>
    <row r="696" spans="1:5" outlineLevel="1" x14ac:dyDescent="0.25">
      <c r="A696" s="16" t="s">
        <v>116</v>
      </c>
      <c r="B696" s="16">
        <v>2370</v>
      </c>
      <c r="C696" s="16">
        <v>200</v>
      </c>
      <c r="D696" s="17">
        <v>0.06</v>
      </c>
      <c r="E696" t="s">
        <v>132</v>
      </c>
    </row>
    <row r="697" spans="1:5" outlineLevel="1" x14ac:dyDescent="0.25">
      <c r="A697" s="16" t="s">
        <v>116</v>
      </c>
      <c r="B697" s="16">
        <v>2370</v>
      </c>
      <c r="C697" s="16">
        <v>250</v>
      </c>
      <c r="D697" s="17">
        <v>0.11</v>
      </c>
      <c r="E697" t="s">
        <v>132</v>
      </c>
    </row>
    <row r="698" spans="1:5" outlineLevel="1" x14ac:dyDescent="0.25">
      <c r="A698" s="16" t="s">
        <v>116</v>
      </c>
      <c r="B698" s="16">
        <v>2370</v>
      </c>
      <c r="C698" s="16">
        <v>300</v>
      </c>
      <c r="D698" s="17">
        <v>0.35</v>
      </c>
      <c r="E698" t="s">
        <v>132</v>
      </c>
    </row>
    <row r="699" spans="1:5" outlineLevel="1" x14ac:dyDescent="0.25">
      <c r="A699" s="16" t="s">
        <v>116</v>
      </c>
      <c r="B699" s="16">
        <v>2370</v>
      </c>
      <c r="C699" s="16">
        <v>350</v>
      </c>
      <c r="D699" s="17">
        <v>0.78</v>
      </c>
      <c r="E699" t="s">
        <v>132</v>
      </c>
    </row>
    <row r="700" spans="1:5" outlineLevel="1" x14ac:dyDescent="0.25">
      <c r="A700" s="16" t="s">
        <v>116</v>
      </c>
      <c r="B700" s="16">
        <v>2370</v>
      </c>
      <c r="C700" s="16">
        <v>400</v>
      </c>
      <c r="D700" s="17">
        <v>1</v>
      </c>
      <c r="E700" t="s">
        <v>132</v>
      </c>
    </row>
    <row r="701" spans="1:5" outlineLevel="1" x14ac:dyDescent="0.25">
      <c r="A701" s="16" t="s">
        <v>117</v>
      </c>
      <c r="B701" s="16">
        <v>2380</v>
      </c>
      <c r="C701" s="16">
        <v>0</v>
      </c>
      <c r="D701" s="17">
        <v>0</v>
      </c>
      <c r="E701" t="s">
        <v>132</v>
      </c>
    </row>
    <row r="702" spans="1:5" outlineLevel="1" x14ac:dyDescent="0.25">
      <c r="A702" s="16" t="s">
        <v>117</v>
      </c>
      <c r="B702" s="16">
        <v>2380</v>
      </c>
      <c r="C702" s="16">
        <v>50</v>
      </c>
      <c r="D702" s="17">
        <v>0</v>
      </c>
      <c r="E702" t="s">
        <v>132</v>
      </c>
    </row>
    <row r="703" spans="1:5" outlineLevel="1" x14ac:dyDescent="0.25">
      <c r="A703" s="16" t="s">
        <v>117</v>
      </c>
      <c r="B703" s="16">
        <v>2380</v>
      </c>
      <c r="C703" s="16">
        <v>100</v>
      </c>
      <c r="D703" s="17">
        <v>0</v>
      </c>
      <c r="E703" t="s">
        <v>132</v>
      </c>
    </row>
    <row r="704" spans="1:5" outlineLevel="1" x14ac:dyDescent="0.25">
      <c r="A704" s="16" t="s">
        <v>117</v>
      </c>
      <c r="B704" s="16">
        <v>2380</v>
      </c>
      <c r="C704" s="16">
        <v>150</v>
      </c>
      <c r="D704" s="17">
        <v>0.02</v>
      </c>
      <c r="E704" t="s">
        <v>132</v>
      </c>
    </row>
    <row r="705" spans="1:5" outlineLevel="1" x14ac:dyDescent="0.25">
      <c r="A705" s="16" t="s">
        <v>117</v>
      </c>
      <c r="B705" s="16">
        <v>2380</v>
      </c>
      <c r="C705" s="16">
        <v>200</v>
      </c>
      <c r="D705" s="17">
        <v>7.3333333333333334E-2</v>
      </c>
      <c r="E705" t="s">
        <v>132</v>
      </c>
    </row>
    <row r="706" spans="1:5" outlineLevel="1" x14ac:dyDescent="0.25">
      <c r="A706" s="16" t="s">
        <v>117</v>
      </c>
      <c r="B706" s="16">
        <v>2380</v>
      </c>
      <c r="C706" s="16">
        <v>250</v>
      </c>
      <c r="D706" s="17">
        <v>0.13</v>
      </c>
      <c r="E706" t="s">
        <v>132</v>
      </c>
    </row>
    <row r="707" spans="1:5" outlineLevel="1" x14ac:dyDescent="0.25">
      <c r="A707" s="16" t="s">
        <v>117</v>
      </c>
      <c r="B707" s="16">
        <v>2380</v>
      </c>
      <c r="C707" s="16">
        <v>300</v>
      </c>
      <c r="D707" s="17">
        <v>0.41666666666666669</v>
      </c>
      <c r="E707" t="s">
        <v>132</v>
      </c>
    </row>
    <row r="708" spans="1:5" outlineLevel="1" x14ac:dyDescent="0.25">
      <c r="A708" s="16" t="s">
        <v>117</v>
      </c>
      <c r="B708" s="16">
        <v>2380</v>
      </c>
      <c r="C708" s="16">
        <v>350</v>
      </c>
      <c r="D708" s="17">
        <v>0.81333333333333346</v>
      </c>
      <c r="E708" t="s">
        <v>132</v>
      </c>
    </row>
    <row r="709" spans="1:5" outlineLevel="1" x14ac:dyDescent="0.25">
      <c r="A709" s="16" t="s">
        <v>117</v>
      </c>
      <c r="B709" s="16">
        <v>2380</v>
      </c>
      <c r="C709" s="16">
        <v>400</v>
      </c>
      <c r="D709" s="17">
        <v>1</v>
      </c>
      <c r="E709" t="s">
        <v>132</v>
      </c>
    </row>
    <row r="710" spans="1:5" outlineLevel="1" x14ac:dyDescent="0.25">
      <c r="A710" s="16" t="s">
        <v>66</v>
      </c>
      <c r="B710" s="16">
        <v>2410</v>
      </c>
      <c r="C710" s="16">
        <v>0</v>
      </c>
      <c r="D710" s="17">
        <v>0</v>
      </c>
      <c r="E710" t="s">
        <v>132</v>
      </c>
    </row>
    <row r="711" spans="1:5" outlineLevel="1" x14ac:dyDescent="0.25">
      <c r="A711" s="16" t="s">
        <v>66</v>
      </c>
      <c r="B711" s="16">
        <v>2410</v>
      </c>
      <c r="C711" s="16">
        <v>50</v>
      </c>
      <c r="D711" s="17">
        <v>0</v>
      </c>
      <c r="E711" t="s">
        <v>132</v>
      </c>
    </row>
    <row r="712" spans="1:5" outlineLevel="1" x14ac:dyDescent="0.25">
      <c r="A712" s="16" t="s">
        <v>66</v>
      </c>
      <c r="B712" s="16">
        <v>2410</v>
      </c>
      <c r="C712" s="16">
        <v>100</v>
      </c>
      <c r="D712" s="17">
        <v>0</v>
      </c>
      <c r="E712" t="s">
        <v>132</v>
      </c>
    </row>
    <row r="713" spans="1:5" outlineLevel="1" x14ac:dyDescent="0.25">
      <c r="A713" s="16" t="s">
        <v>66</v>
      </c>
      <c r="B713" s="16">
        <v>2410</v>
      </c>
      <c r="C713" s="16">
        <v>150</v>
      </c>
      <c r="D713" s="17">
        <v>0</v>
      </c>
      <c r="E713" t="s">
        <v>132</v>
      </c>
    </row>
    <row r="714" spans="1:5" outlineLevel="1" x14ac:dyDescent="0.25">
      <c r="A714" s="16" t="s">
        <v>66</v>
      </c>
      <c r="B714" s="16">
        <v>2410</v>
      </c>
      <c r="C714" s="16">
        <v>200</v>
      </c>
      <c r="D714" s="17">
        <v>0.02</v>
      </c>
      <c r="E714" t="s">
        <v>132</v>
      </c>
    </row>
    <row r="715" spans="1:5" outlineLevel="1" x14ac:dyDescent="0.25">
      <c r="A715" s="16" t="s">
        <v>66</v>
      </c>
      <c r="B715" s="16">
        <v>2410</v>
      </c>
      <c r="C715" s="16">
        <v>250</v>
      </c>
      <c r="D715" s="17">
        <v>0.105</v>
      </c>
      <c r="E715" t="s">
        <v>132</v>
      </c>
    </row>
    <row r="716" spans="1:5" outlineLevel="1" x14ac:dyDescent="0.25">
      <c r="A716" s="16" t="s">
        <v>66</v>
      </c>
      <c r="B716" s="16">
        <v>2410</v>
      </c>
      <c r="C716" s="16">
        <v>300</v>
      </c>
      <c r="D716" s="17">
        <v>0.36499999999999999</v>
      </c>
      <c r="E716" t="s">
        <v>132</v>
      </c>
    </row>
    <row r="717" spans="1:5" outlineLevel="1" x14ac:dyDescent="0.25">
      <c r="A717" s="16" t="s">
        <v>66</v>
      </c>
      <c r="B717" s="16">
        <v>2410</v>
      </c>
      <c r="C717" s="16">
        <v>350</v>
      </c>
      <c r="D717" s="17">
        <v>0.49</v>
      </c>
      <c r="E717" t="s">
        <v>132</v>
      </c>
    </row>
    <row r="718" spans="1:5" outlineLevel="1" x14ac:dyDescent="0.25">
      <c r="A718" s="16" t="s">
        <v>66</v>
      </c>
      <c r="B718" s="16">
        <v>2410</v>
      </c>
      <c r="C718" s="16">
        <v>400</v>
      </c>
      <c r="D718" s="17">
        <v>0.5</v>
      </c>
      <c r="E718" t="s">
        <v>132</v>
      </c>
    </row>
    <row r="719" spans="1:5" outlineLevel="1" x14ac:dyDescent="0.25">
      <c r="A719" s="16" t="s">
        <v>67</v>
      </c>
      <c r="B719" s="16">
        <v>2420</v>
      </c>
      <c r="C719" s="16">
        <v>0</v>
      </c>
      <c r="D719" s="17">
        <v>0</v>
      </c>
      <c r="E719" t="s">
        <v>132</v>
      </c>
    </row>
    <row r="720" spans="1:5" outlineLevel="1" x14ac:dyDescent="0.25">
      <c r="A720" s="16" t="s">
        <v>67</v>
      </c>
      <c r="B720" s="16">
        <v>2420</v>
      </c>
      <c r="C720" s="16">
        <v>50</v>
      </c>
      <c r="D720" s="17">
        <v>0</v>
      </c>
      <c r="E720" t="s">
        <v>132</v>
      </c>
    </row>
    <row r="721" spans="1:5" outlineLevel="1" x14ac:dyDescent="0.25">
      <c r="A721" s="16" t="s">
        <v>67</v>
      </c>
      <c r="B721" s="16">
        <v>2420</v>
      </c>
      <c r="C721" s="16">
        <v>100</v>
      </c>
      <c r="D721" s="17">
        <v>0</v>
      </c>
      <c r="E721" t="s">
        <v>132</v>
      </c>
    </row>
    <row r="722" spans="1:5" outlineLevel="1" x14ac:dyDescent="0.25">
      <c r="A722" s="16" t="s">
        <v>67</v>
      </c>
      <c r="B722" s="16">
        <v>2420</v>
      </c>
      <c r="C722" s="16">
        <v>150</v>
      </c>
      <c r="D722" s="17">
        <v>0</v>
      </c>
      <c r="E722" t="s">
        <v>132</v>
      </c>
    </row>
    <row r="723" spans="1:5" outlineLevel="1" x14ac:dyDescent="0.25">
      <c r="A723" s="16" t="s">
        <v>67</v>
      </c>
      <c r="B723" s="16">
        <v>2420</v>
      </c>
      <c r="C723" s="16">
        <v>200</v>
      </c>
      <c r="D723" s="17">
        <v>0.04</v>
      </c>
      <c r="E723" t="s">
        <v>132</v>
      </c>
    </row>
    <row r="724" spans="1:5" outlineLevel="1" x14ac:dyDescent="0.25">
      <c r="A724" s="16" t="s">
        <v>67</v>
      </c>
      <c r="B724" s="16">
        <v>2420</v>
      </c>
      <c r="C724" s="16">
        <v>250</v>
      </c>
      <c r="D724" s="17">
        <v>0.26500000000000001</v>
      </c>
      <c r="E724" t="s">
        <v>132</v>
      </c>
    </row>
    <row r="725" spans="1:5" outlineLevel="1" x14ac:dyDescent="0.25">
      <c r="A725" s="16" t="s">
        <v>67</v>
      </c>
      <c r="B725" s="16">
        <v>2420</v>
      </c>
      <c r="C725" s="16">
        <v>300</v>
      </c>
      <c r="D725" s="17">
        <v>0.48</v>
      </c>
      <c r="E725" t="s">
        <v>132</v>
      </c>
    </row>
    <row r="726" spans="1:5" outlineLevel="1" x14ac:dyDescent="0.25">
      <c r="A726" s="16" t="s">
        <v>67</v>
      </c>
      <c r="B726" s="16">
        <v>2420</v>
      </c>
      <c r="C726" s="16">
        <v>350</v>
      </c>
      <c r="D726" s="17">
        <v>0.5</v>
      </c>
      <c r="E726" t="s">
        <v>132</v>
      </c>
    </row>
    <row r="727" spans="1:5" outlineLevel="1" x14ac:dyDescent="0.25">
      <c r="A727" s="16" t="s">
        <v>67</v>
      </c>
      <c r="B727" s="16">
        <v>2420</v>
      </c>
      <c r="C727" s="16">
        <v>400</v>
      </c>
      <c r="D727" s="17">
        <v>0.5</v>
      </c>
      <c r="E727" t="s">
        <v>132</v>
      </c>
    </row>
    <row r="728" spans="1:5" outlineLevel="1" x14ac:dyDescent="0.25">
      <c r="A728" s="16" t="s">
        <v>68</v>
      </c>
      <c r="B728" s="16">
        <v>2430</v>
      </c>
      <c r="C728" s="16">
        <v>0</v>
      </c>
      <c r="D728" s="17">
        <v>0</v>
      </c>
      <c r="E728" t="s">
        <v>132</v>
      </c>
    </row>
    <row r="729" spans="1:5" outlineLevel="1" x14ac:dyDescent="0.25">
      <c r="A729" s="16" t="s">
        <v>68</v>
      </c>
      <c r="B729" s="16">
        <v>2430</v>
      </c>
      <c r="C729" s="16">
        <v>50</v>
      </c>
      <c r="D729" s="17">
        <v>0</v>
      </c>
      <c r="E729" t="s">
        <v>132</v>
      </c>
    </row>
    <row r="730" spans="1:5" outlineLevel="1" x14ac:dyDescent="0.25">
      <c r="A730" s="16" t="s">
        <v>68</v>
      </c>
      <c r="B730" s="16">
        <v>2430</v>
      </c>
      <c r="C730" s="16">
        <v>100</v>
      </c>
      <c r="D730" s="17">
        <v>0</v>
      </c>
      <c r="E730" t="s">
        <v>132</v>
      </c>
    </row>
    <row r="731" spans="1:5" outlineLevel="1" x14ac:dyDescent="0.25">
      <c r="A731" s="16" t="s">
        <v>68</v>
      </c>
      <c r="B731" s="16">
        <v>2430</v>
      </c>
      <c r="C731" s="16">
        <v>150</v>
      </c>
      <c r="D731" s="17">
        <v>0</v>
      </c>
      <c r="E731" t="s">
        <v>132</v>
      </c>
    </row>
    <row r="732" spans="1:5" outlineLevel="1" x14ac:dyDescent="0.25">
      <c r="A732" s="16" t="s">
        <v>68</v>
      </c>
      <c r="B732" s="16">
        <v>2430</v>
      </c>
      <c r="C732" s="16">
        <v>200</v>
      </c>
      <c r="D732" s="17">
        <v>0.14000000000000001</v>
      </c>
      <c r="E732" t="s">
        <v>132</v>
      </c>
    </row>
    <row r="733" spans="1:5" outlineLevel="1" x14ac:dyDescent="0.25">
      <c r="A733" s="16" t="s">
        <v>68</v>
      </c>
      <c r="B733" s="16">
        <v>2430</v>
      </c>
      <c r="C733" s="16">
        <v>250</v>
      </c>
      <c r="D733" s="17">
        <v>0.45</v>
      </c>
      <c r="E733" t="s">
        <v>132</v>
      </c>
    </row>
    <row r="734" spans="1:5" outlineLevel="1" x14ac:dyDescent="0.25">
      <c r="A734" s="16" t="s">
        <v>68</v>
      </c>
      <c r="B734" s="16">
        <v>2430</v>
      </c>
      <c r="C734" s="16">
        <v>300</v>
      </c>
      <c r="D734" s="17">
        <v>0.5</v>
      </c>
      <c r="E734" t="s">
        <v>132</v>
      </c>
    </row>
    <row r="735" spans="1:5" outlineLevel="1" x14ac:dyDescent="0.25">
      <c r="A735" s="16" t="s">
        <v>68</v>
      </c>
      <c r="B735" s="16">
        <v>2430</v>
      </c>
      <c r="C735" s="16">
        <v>350</v>
      </c>
      <c r="D735" s="17">
        <v>0.5</v>
      </c>
      <c r="E735" t="s">
        <v>132</v>
      </c>
    </row>
    <row r="736" spans="1:5" outlineLevel="1" x14ac:dyDescent="0.25">
      <c r="A736" s="16" t="s">
        <v>68</v>
      </c>
      <c r="B736" s="16">
        <v>2430</v>
      </c>
      <c r="C736" s="16">
        <v>400</v>
      </c>
      <c r="D736" s="17">
        <v>0.5</v>
      </c>
      <c r="E736" t="s">
        <v>132</v>
      </c>
    </row>
    <row r="737" spans="1:5" outlineLevel="1" x14ac:dyDescent="0.25">
      <c r="A737" s="16" t="s">
        <v>69</v>
      </c>
      <c r="B737" s="16">
        <v>2440</v>
      </c>
      <c r="C737" s="16">
        <v>0</v>
      </c>
      <c r="D737" s="17">
        <v>0</v>
      </c>
      <c r="E737" t="s">
        <v>132</v>
      </c>
    </row>
    <row r="738" spans="1:5" outlineLevel="1" x14ac:dyDescent="0.25">
      <c r="A738" s="16" t="s">
        <v>69</v>
      </c>
      <c r="B738" s="16">
        <v>2440</v>
      </c>
      <c r="C738" s="16">
        <v>50</v>
      </c>
      <c r="D738" s="17">
        <v>0</v>
      </c>
      <c r="E738" t="s">
        <v>132</v>
      </c>
    </row>
    <row r="739" spans="1:5" outlineLevel="1" x14ac:dyDescent="0.25">
      <c r="A739" s="16" t="s">
        <v>69</v>
      </c>
      <c r="B739" s="16">
        <v>2440</v>
      </c>
      <c r="C739" s="16">
        <v>100</v>
      </c>
      <c r="D739" s="17">
        <v>0</v>
      </c>
      <c r="E739" t="s">
        <v>132</v>
      </c>
    </row>
    <row r="740" spans="1:5" outlineLevel="1" x14ac:dyDescent="0.25">
      <c r="A740" s="16" t="s">
        <v>69</v>
      </c>
      <c r="B740" s="16">
        <v>2440</v>
      </c>
      <c r="C740" s="16">
        <v>150</v>
      </c>
      <c r="D740" s="17">
        <v>2.5000000000000001E-2</v>
      </c>
      <c r="E740" t="s">
        <v>132</v>
      </c>
    </row>
    <row r="741" spans="1:5" outlineLevel="1" x14ac:dyDescent="0.25">
      <c r="A741" s="16" t="s">
        <v>69</v>
      </c>
      <c r="B741" s="16">
        <v>2440</v>
      </c>
      <c r="C741" s="16">
        <v>200</v>
      </c>
      <c r="D741" s="17">
        <v>0.13500000000000001</v>
      </c>
      <c r="E741" t="s">
        <v>132</v>
      </c>
    </row>
    <row r="742" spans="1:5" outlineLevel="1" x14ac:dyDescent="0.25">
      <c r="A742" s="16" t="s">
        <v>69</v>
      </c>
      <c r="B742" s="16">
        <v>2440</v>
      </c>
      <c r="C742" s="16">
        <v>250</v>
      </c>
      <c r="D742" s="17">
        <v>0.48499999999999999</v>
      </c>
      <c r="E742" t="s">
        <v>132</v>
      </c>
    </row>
    <row r="743" spans="1:5" outlineLevel="1" x14ac:dyDescent="0.25">
      <c r="A743" s="16" t="s">
        <v>69</v>
      </c>
      <c r="B743" s="16">
        <v>2440</v>
      </c>
      <c r="C743" s="16">
        <v>300</v>
      </c>
      <c r="D743" s="17">
        <v>0.5</v>
      </c>
      <c r="E743" t="s">
        <v>132</v>
      </c>
    </row>
    <row r="744" spans="1:5" outlineLevel="1" x14ac:dyDescent="0.25">
      <c r="A744" s="16" t="s">
        <v>69</v>
      </c>
      <c r="B744" s="16">
        <v>2440</v>
      </c>
      <c r="C744" s="16">
        <v>350</v>
      </c>
      <c r="D744" s="17">
        <v>0.5</v>
      </c>
      <c r="E744" t="s">
        <v>132</v>
      </c>
    </row>
    <row r="745" spans="1:5" outlineLevel="1" x14ac:dyDescent="0.25">
      <c r="A745" s="16" t="s">
        <v>69</v>
      </c>
      <c r="B745" s="16">
        <v>2440</v>
      </c>
      <c r="C745" s="16">
        <v>400</v>
      </c>
      <c r="D745" s="17">
        <v>0.5</v>
      </c>
      <c r="E745" t="s">
        <v>132</v>
      </c>
    </row>
  </sheetData>
  <autoFilter ref="A1:F745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Aggregate of all dmg functions</vt:lpstr>
      <vt:lpstr>formatted</vt:lpstr>
    </vt:vector>
  </TitlesOfParts>
  <Company>ECORYS Nederland B.V.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Wienhoven</dc:creator>
  <cp:lastModifiedBy>Gilles Stassen</cp:lastModifiedBy>
  <cp:lastPrinted>2015-04-01T10:09:20Z</cp:lastPrinted>
  <dcterms:created xsi:type="dcterms:W3CDTF">2015-03-14T06:14:42Z</dcterms:created>
  <dcterms:modified xsi:type="dcterms:W3CDTF">2015-06-18T14:01:40Z</dcterms:modified>
</cp:coreProperties>
</file>